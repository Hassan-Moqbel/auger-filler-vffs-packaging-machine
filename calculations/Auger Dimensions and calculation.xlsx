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uger Screw Dimensions" sheetId="1" r:id="rId4"/>
    <sheet state="visible" name="Spinner plate " sheetId="2" r:id="rId5"/>
    <sheet state="visible" name="Auger shaft Dimensions " sheetId="3" r:id="rId6"/>
    <sheet state="visible" name="Forces Equations" sheetId="4" r:id="rId7"/>
    <sheet state="visible" name="Forces Equations parameters " sheetId="5" r:id="rId8"/>
    <sheet state="visible" name="Volume parameters driven " sheetId="6" r:id="rId9"/>
    <sheet state="visible" name="Volumetric Calculation Equation" sheetId="7" r:id="rId10"/>
    <sheet state="visible" name="Datasheet of motor " sheetId="8" r:id="rId11"/>
    <sheet state="visible" name="Datasheet of Driver " sheetId="9" r:id="rId12"/>
    <sheet state="visible" name="Datasheet of Gearbox " sheetId="10" r:id="rId13"/>
    <sheet state="visible" name="Torque Calculations" sheetId="11" r:id="rId14"/>
    <sheet state="visible" name="Torque Equations" sheetId="12" r:id="rId15"/>
  </sheets>
  <definedNames/>
  <calcPr/>
</workbook>
</file>

<file path=xl/sharedStrings.xml><?xml version="1.0" encoding="utf-8"?>
<sst xmlns="http://schemas.openxmlformats.org/spreadsheetml/2006/main" count="890" uniqueCount="730">
  <si>
    <t>Feature</t>
  </si>
  <si>
    <t>Description</t>
  </si>
  <si>
    <t>Value</t>
  </si>
  <si>
    <t>Unit</t>
  </si>
  <si>
    <t>Notes</t>
  </si>
  <si>
    <t>Overall Length</t>
  </si>
  <si>
    <t>Total auger length</t>
  </si>
  <si>
    <t>mm</t>
  </si>
  <si>
    <t>Bottom tip to top smooth end</t>
  </si>
  <si>
    <t>Flighted Length</t>
  </si>
  <si>
    <t>Effective helical section</t>
  </si>
  <si>
    <t>Active dosing zone</t>
  </si>
  <si>
    <t>Number of Flights</t>
  </si>
  <si>
    <t>Total helical turns</t>
  </si>
  <si>
    <t>rev</t>
  </si>
  <si>
    <t>Single start</t>
  </si>
  <si>
    <t>Pitch</t>
  </si>
  <si>
    <t>Distance between flights</t>
  </si>
  <si>
    <t>Constant pitch</t>
  </si>
  <si>
    <t>Outer Diameter</t>
  </si>
  <si>
    <t>Maximum auger diameter</t>
  </si>
  <si>
    <t>Flight OD</t>
  </si>
  <si>
    <t>Core Shaft Diameter</t>
  </si>
  <si>
    <t>Shaft diameter under flight</t>
  </si>
  <si>
    <t>Main core</t>
  </si>
  <si>
    <t>Upper Smooth Shaft Length</t>
  </si>
  <si>
    <t>Non-flighted upper section</t>
  </si>
  <si>
    <t>Connection to auger shaft</t>
  </si>
  <si>
    <t>Lower Clearance Length</t>
  </si>
  <si>
    <t>End clearance before thread</t>
  </si>
  <si>
    <t>Between flight and thread</t>
  </si>
  <si>
    <t>Threaded Length</t>
  </si>
  <si>
    <t>Thread for rotary plate</t>
  </si>
  <si>
    <t>M14×1.5</t>
  </si>
  <si>
    <t>Thread Diameter</t>
  </si>
  <si>
    <t>Thread nominal diameter</t>
  </si>
  <si>
    <t>Metric fine</t>
  </si>
  <si>
    <t>Flight Thickness</t>
  </si>
  <si>
    <t>Helical ribbon thickness</t>
  </si>
  <si>
    <t>Axial thickness</t>
  </si>
  <si>
    <t>Radial Flight Height</t>
  </si>
  <si>
    <t>Flight radial height</t>
  </si>
  <si>
    <t>(OD–Core)/2</t>
  </si>
  <si>
    <t>Radial Clearance</t>
  </si>
  <si>
    <t>Clearance to tube wall</t>
  </si>
  <si>
    <t>1.0–1.5</t>
  </si>
  <si>
    <t>Avoid rubbing</t>
  </si>
  <si>
    <t>Fillet</t>
  </si>
  <si>
    <t>Flight leading edge</t>
  </si>
  <si>
    <t>1×45°</t>
  </si>
  <si>
    <t>-</t>
  </si>
  <si>
    <t>Smooth flow</t>
  </si>
  <si>
    <t>Fillet Radius</t>
  </si>
  <si>
    <t>Flight to shaft root</t>
  </si>
  <si>
    <t>Stress relief</t>
  </si>
  <si>
    <t xml:space="preserve">Fillet Radius </t>
  </si>
  <si>
    <t>Fillet between Main shaft and smooth shaft</t>
  </si>
  <si>
    <t>The end of the pin attached to the smooth shaft</t>
  </si>
  <si>
    <t>R1 = 3.5</t>
  </si>
  <si>
    <t>On the right side of the smooth column</t>
  </si>
  <si>
    <t>The point of contact between the pin and the post</t>
  </si>
  <si>
    <t>Contact with the smooth column</t>
  </si>
  <si>
    <t>R2 = 3.49</t>
  </si>
  <si>
    <t>On the left side of the smooth column</t>
  </si>
  <si>
    <t>End of the column connected to the threaded column</t>
  </si>
  <si>
    <t xml:space="preserve">Chamfer </t>
  </si>
  <si>
    <t>Chamfer end of smooth shaft</t>
  </si>
  <si>
    <t>Start of the thread column from the bottom</t>
  </si>
  <si>
    <t>0.5×45°</t>
  </si>
  <si>
    <t xml:space="preserve">Fillet radius </t>
  </si>
  <si>
    <t>Smoothing the beginning and end of the flight</t>
  </si>
  <si>
    <t>Features</t>
  </si>
  <si>
    <t>Description (English)</t>
  </si>
  <si>
    <t>Out Diameter of spinner plate</t>
  </si>
  <si>
    <t>Total outer diameter of the spinner plate, defining the maximum extent of the inclined edge.</t>
  </si>
  <si>
    <t>القطر الخارجي الكلي للصحن الدوار، وهو القطر الأقصى للصحن الذي يحد من حافة الإمالة الخارجية.</t>
  </si>
  <si>
    <t>Cut-Extrude diameter in the middle</t>
  </si>
  <si>
    <t>Central bore diameter, sized to allow passage of the auger shaft or drive spindle.</t>
  </si>
  <si>
    <t>قطر الفتحة المركزية المخرمة في منتصف الصحن، تُستخدم لتمرير العمود أو المغزل الذي يُثبت عليه اللولب.</t>
  </si>
  <si>
    <t>Diameter of the flat plate before the edge</t>
  </si>
  <si>
    <t>Diameter of the flat central region before the start of the sloped edge; material rests here before sliding outward.</t>
  </si>
  <si>
    <t>قطر المنطقة المستوية من الصحن قبل أن تبدأ الحافة المائلة، وهي المنطقة التي تستقيم عليها المادة قبل أن تنزلق نحو الحافة.</t>
  </si>
  <si>
    <t>Thickness of the spinner plate (shell)</t>
  </si>
  <si>
    <t>Wall thickness of the spun or formed shell that constitutes the plate.</t>
  </si>
  <si>
    <t>سمك الصحن الدوار نفسه، أي سمك الجزء المعدني المكون للصحن.</t>
  </si>
  <si>
    <t>Angle of inclination of the dish's edge</t>
  </si>
  <si>
    <t>°</t>
  </si>
  <si>
    <t>Conical angle of the outer rim; governs the radial throw and flow pattern of discharged material.</t>
  </si>
  <si>
    <t>زاوية ميل الحافة الخارجية للصحن، تُستخدم لتوجيه تدفق المادة نحو الخارج أثناء الدوران.</t>
  </si>
  <si>
    <t>Chamfer in the edge of Cut-Extrude</t>
  </si>
  <si>
    <t>0.5×45</t>
  </si>
  <si>
    <t>Small 45° chamfer on the bore edge to ease assembly and reduce stress concentration.</t>
  </si>
  <si>
    <t>شطبة صغيرة عند حافة الفتحة المركزية، تُستخدم لتسهيل التجميع وتقليل التركيز الإجهادي.</t>
  </si>
  <si>
    <t>Fillet radius</t>
  </si>
  <si>
    <t>Blend radius between adjoining surfaces to minimize stress risers and improve manufacturability.</t>
  </si>
  <si>
    <t>نصف قطر التنعيم عند التقاء الأسطح، لتقليل التركيز الإجهادي وتسهيل التصنيع.</t>
  </si>
  <si>
    <t>Cut and extrude inwards by the amount (shell)</t>
  </si>
  <si>
    <t>Axial depth of the dished shell, measured from the bottom plane to the top edge of the inclined rim.</t>
  </si>
  <si>
    <t>الارتفاع الرأسي للصحن من السطح السفلي إلى أعلى حافته، أي العمق الداخلي للصحن.</t>
  </si>
  <si>
    <t>Shell</t>
  </si>
  <si>
    <t>Indicates the part is a thin-walled shell (constant 3 mm thickness) rather than a solid disc.</t>
  </si>
  <si>
    <t>يشير إلى أن الصحن مصمم كـ"قشرة" (shell) أي جسم مجوف ذو سماكة ثابتة من 3 مم.</t>
  </si>
  <si>
    <t xml:space="preserve">Value </t>
  </si>
  <si>
    <t xml:space="preserve">Unit </t>
  </si>
  <si>
    <t xml:space="preserve">Total auger shaft length </t>
  </si>
  <si>
    <t xml:space="preserve">Outer diameter </t>
  </si>
  <si>
    <t>Maximum auger shaft diameter</t>
  </si>
  <si>
    <t>Length of cut-Extrude on the upper</t>
  </si>
  <si>
    <t>Cutting and extruding from the top</t>
  </si>
  <si>
    <t>Diameter of cut-Extrude on the upper</t>
  </si>
  <si>
    <t>The diameter of the cut at the top is intended for the entry of the shaft that connects to the gearbox.</t>
  </si>
  <si>
    <t xml:space="preserve">Length of cut-Extrude on the down </t>
  </si>
  <si>
    <t>Cutting length - extrusion from the bottom at the point of contact with the smooth shaft of the screw containing two pins</t>
  </si>
  <si>
    <t xml:space="preserve">Diameter of cut-Extrude on the down </t>
  </si>
  <si>
    <t>The diameter of the cut from below is for the smooth shaft of the screw to enter.</t>
  </si>
  <si>
    <t>Vertical cut-Extrude length of J-slot</t>
  </si>
  <si>
    <t>Total length of J-slot cutting and extrusion</t>
  </si>
  <si>
    <t>Diameter of the J-slot</t>
  </si>
  <si>
    <t>The J-slot design allows the insertion of the two pins located in the smooth shaft.</t>
  </si>
  <si>
    <t>Horizontal cut-Extrude length of J-slot</t>
  </si>
  <si>
    <t>The length of the horizontal cut from the end of the vertical cut of the J-slot</t>
  </si>
  <si>
    <t>Vertical Length of the cut on the upper surface</t>
  </si>
  <si>
    <t>The Vertical length of the cut is on the upper surface of the drill bit on both faces of the bit in order to create a circular opening that allows the insertion of the cross pin.</t>
  </si>
  <si>
    <t>Horizontal Length of the cut on the upper surface</t>
  </si>
  <si>
    <t>The Horizontal length of the cut is on the upper surface of the drill bit on both faces of the bit in order to create a circular opening that allows the insertion of the cross pin.</t>
  </si>
  <si>
    <t>The diameter of the circle allows the cross pin to fit.</t>
  </si>
  <si>
    <t>The diameter of the circle at the top, on the cut surface of the shaft, allows for the insertion of a cross-pin to secure the shaft that connects to the shaft connected to the gearbox.</t>
  </si>
  <si>
    <t>Distance of the circle from the top surface of the column</t>
  </si>
  <si>
    <t>The distance of the circle from the top surface of the column, and this circle allows the entry of the contact pin called the Cross-pin</t>
  </si>
  <si>
    <t>Smoothing of all edges</t>
  </si>
  <si>
    <t>No.</t>
  </si>
  <si>
    <t>Force Type</t>
  </si>
  <si>
    <t>Equation</t>
  </si>
  <si>
    <t>Symbols Meaning</t>
  </si>
  <si>
    <t>Engineering Use</t>
  </si>
  <si>
    <t>Material Weight Force</t>
  </si>
  <si>
    <t>F_w = m · g</t>
  </si>
  <si>
    <t>m = mass (kg), g = 9.81 m/s²</t>
  </si>
  <si>
    <t>Gravity load of material</t>
  </si>
  <si>
    <t>Axial Force (Helix)</t>
  </si>
  <si>
    <t>F_ax = m · g · sin(α)</t>
  </si>
  <si>
    <t>α = helix angle</t>
  </si>
  <si>
    <t>Material conveying force</t>
  </si>
  <si>
    <t>Normal Force</t>
  </si>
  <si>
    <t>F_n = m · g · cos(α)</t>
  </si>
  <si>
    <t>—</t>
  </si>
  <si>
    <t>Used for friction</t>
  </si>
  <si>
    <t>Friction Force</t>
  </si>
  <si>
    <t>F_f = μ · F_n</t>
  </si>
  <si>
    <t>μ = friction coefficient</t>
  </si>
  <si>
    <t>Material resistance</t>
  </si>
  <si>
    <t>Axial Friction Force</t>
  </si>
  <si>
    <t>F_ax,f = μ · m · g · cos(α)</t>
  </si>
  <si>
    <t>Affects torque</t>
  </si>
  <si>
    <t>Bulk Pressure Force</t>
  </si>
  <si>
    <t>F_p = σ · A</t>
  </si>
  <si>
    <t>σ = bulk stress</t>
  </si>
  <si>
    <t>High fill cases</t>
  </si>
  <si>
    <t>Shear Force</t>
  </si>
  <si>
    <t>F_s = τ · A</t>
  </si>
  <si>
    <t>τ = shear stress</t>
  </si>
  <si>
    <t>Cohesion resistance</t>
  </si>
  <si>
    <t>Rotary Plate Load</t>
  </si>
  <si>
    <t>F_plate = (m_p + m_m) · g</t>
  </si>
  <si>
    <t>plate + material mass</t>
  </si>
  <si>
    <t>Load on auger</t>
  </si>
  <si>
    <t>Radial Force</t>
  </si>
  <si>
    <t>F_r = F_n · sin(α)</t>
  </si>
  <si>
    <t>Bending analysis</t>
  </si>
  <si>
    <t>Inertial Force</t>
  </si>
  <si>
    <t>F_i = m · a</t>
  </si>
  <si>
    <t>a = acceleration</t>
  </si>
  <si>
    <t>Startup condition</t>
  </si>
  <si>
    <t>Centrifugal Force</t>
  </si>
  <si>
    <t>F_c = m · ω² · r</t>
  </si>
  <si>
    <t>ω = angular speed</t>
  </si>
  <si>
    <t>Rotating elements</t>
  </si>
  <si>
    <t>Shaft Tangential Force</t>
  </si>
  <si>
    <t>F_t = T / r</t>
  </si>
  <si>
    <t>T = torque</t>
  </si>
  <si>
    <t>Shaft stress</t>
  </si>
  <si>
    <t>Key Shear Force</t>
  </si>
  <si>
    <t>F_key = T / r_key</t>
  </si>
  <si>
    <t>r_key = key radius</t>
  </si>
  <si>
    <t>Key safety</t>
  </si>
  <si>
    <t>Cross Pin Force</t>
  </si>
  <si>
    <t>F_pin = T / r_pin</t>
  </si>
  <si>
    <t>r_pin = pin radius</t>
  </si>
  <si>
    <t>Pin safety</t>
  </si>
  <si>
    <t>Equivalent Static Force</t>
  </si>
  <si>
    <t>F_eq = T / r_m</t>
  </si>
  <si>
    <t>r_m = mean radius</t>
  </si>
  <si>
    <t>FEA loading</t>
  </si>
  <si>
    <t>Symbolic Form</t>
  </si>
  <si>
    <t>Input Parameters</t>
  </si>
  <si>
    <t>Calculated Result (Auto)</t>
  </si>
  <si>
    <t>Units</t>
  </si>
  <si>
    <t>Parameters</t>
  </si>
  <si>
    <t>Mass (kg)</t>
  </si>
  <si>
    <t>Gravity (m/s^2)</t>
  </si>
  <si>
    <t>Friction Coefficient (μ)</t>
  </si>
  <si>
    <t>Radius (m)</t>
  </si>
  <si>
    <t>Angular Speed (rad/s)</t>
  </si>
  <si>
    <t>Weight Force</t>
  </si>
  <si>
    <t>F = m*g</t>
  </si>
  <si>
    <t>m, g</t>
  </si>
  <si>
    <t>N</t>
  </si>
  <si>
    <t>Gravitational force of material</t>
  </si>
  <si>
    <t>F = μ*m*g</t>
  </si>
  <si>
    <t>μ, m, g</t>
  </si>
  <si>
    <t>Axial resistance</t>
  </si>
  <si>
    <t>Torque from Weight</t>
  </si>
  <si>
    <t>T = F*r</t>
  </si>
  <si>
    <t>m, g, r</t>
  </si>
  <si>
    <t>N·m</t>
  </si>
  <si>
    <t>Torque due to mass</t>
  </si>
  <si>
    <t>F = m*r*ω²</t>
  </si>
  <si>
    <t>m, r, ω</t>
  </si>
  <si>
    <t>Rotational force</t>
  </si>
  <si>
    <t>Parameter / Equation</t>
  </si>
  <si>
    <t>Symbol</t>
  </si>
  <si>
    <t>Formula (Excel-driven)</t>
  </si>
  <si>
    <t>D</t>
  </si>
  <si>
    <t>m</t>
  </si>
  <si>
    <t>Auger outer diameter</t>
  </si>
  <si>
    <t>Shaft Diameter</t>
  </si>
  <si>
    <t>Ds</t>
  </si>
  <si>
    <t>Auger shaft diameter</t>
  </si>
  <si>
    <t>p</t>
  </si>
  <si>
    <t>Auger pitch</t>
  </si>
  <si>
    <t>Number of Turns</t>
  </si>
  <si>
    <t>n</t>
  </si>
  <si>
    <t>Effective auger turns</t>
  </si>
  <si>
    <t>Fill Efficiency</t>
  </si>
  <si>
    <t>ηv</t>
  </si>
  <si>
    <t>Volumetric fill efficiency</t>
  </si>
  <si>
    <t>Bulk Density</t>
  </si>
  <si>
    <t>ρb</t>
  </si>
  <si>
    <t>kg/m³</t>
  </si>
  <si>
    <t>Bulk density of salt</t>
  </si>
  <si>
    <t>Cross-sectional Area</t>
  </si>
  <si>
    <t>A</t>
  </si>
  <si>
    <t>m²</t>
  </si>
  <si>
    <t>Annular cross-sectional area</t>
  </si>
  <si>
    <t>Volume per Pitch</t>
  </si>
  <si>
    <t>Vp</t>
  </si>
  <si>
    <t>m³</t>
  </si>
  <si>
    <t>Volume conveyed per pitch</t>
  </si>
  <si>
    <t>Effective Volume per Pitch</t>
  </si>
  <si>
    <t>Veff</t>
  </si>
  <si>
    <t>Effective volume considering fill efficiency</t>
  </si>
  <si>
    <t>Total Volume</t>
  </si>
  <si>
    <t>Vt</t>
  </si>
  <si>
    <t>Total conveyed volume</t>
  </si>
  <si>
    <t>Mass per Dose</t>
  </si>
  <si>
    <t>kg</t>
  </si>
  <si>
    <t>Mass delivered per dose</t>
  </si>
  <si>
    <t>Calculation Item</t>
  </si>
  <si>
    <t>Description (Arabic / English)</t>
  </si>
  <si>
    <t>Symbols</t>
  </si>
  <si>
    <t>Engineering Notes</t>
  </si>
  <si>
    <t>Explanation of the equation and its use</t>
  </si>
  <si>
    <t>Annular Area</t>
  </si>
  <si>
    <t>A = π/4 (D² − Ds²)</t>
  </si>
  <si>
    <t>مساحة المقطع الحلقي / Effective annular area</t>
  </si>
  <si>
    <t>D: Outer diameter | D_s: Shaft diameter</t>
  </si>
  <si>
    <t>Base volumetric area | أساس كل الحسابات الحجمية</t>
  </si>
  <si>
    <t>حساب المساحة الفعالة التي تشغلها المادة بين الريشة والعمود</t>
  </si>
  <si>
    <t>Volume per Revolution</t>
  </si>
  <si>
    <t>V_rev = A · p</t>
  </si>
  <si>
    <t>الحجم لكل لفة / Volume per revolution</t>
  </si>
  <si>
    <t>A: Annular area | p: Pitch</t>
  </si>
  <si>
    <t>Ideal filling | يفترض امتلاءً كاملًا</t>
  </si>
  <si>
    <t>حجم المادة النظرية المنقولة في لفة واحدة</t>
  </si>
  <si>
    <t>Effective Volume</t>
  </si>
  <si>
    <t>V_eff = η_v · V_rev</t>
  </si>
  <si>
    <t>الحجم الفعلي / Effective volume</t>
  </si>
  <si>
    <t>η_v: Volumetric efficiency</t>
  </si>
  <si>
    <t>Includes voids | يأخذ الفراغات بعين الاعتبار</t>
  </si>
  <si>
    <t>تعديل الحجم النظري حسب كفاءة التعبئة</t>
  </si>
  <si>
    <t>Total Auger Volume</t>
  </si>
  <si>
    <t>V_total = V_eff · n</t>
  </si>
  <si>
    <t>الحجم الكلي / Total volume</t>
  </si>
  <si>
    <t>n: Number of turns</t>
  </si>
  <si>
    <t>Dose basis | يستخدم في حساب الجرعة</t>
  </si>
  <si>
    <t>الحجم الذي يحتويه اللولب عبر جميع اللفات</t>
  </si>
  <si>
    <t>Volumetric Flow Rate</t>
  </si>
  <si>
    <t>Q_v = V_eff · N</t>
  </si>
  <si>
    <t>معدل التدفق الحجمي / Flow rate</t>
  </si>
  <si>
    <t>N: rev/s</t>
  </si>
  <si>
    <t>Speed dependent | مرتبط بسرعة الدوران</t>
  </si>
  <si>
    <t>حجم المادة المنقولة في وحدة الزمن</t>
  </si>
  <si>
    <t>Mass per Revolution</t>
  </si>
  <si>
    <t>m_rev = ρ_b · V_eff</t>
  </si>
  <si>
    <t>كتلة لكل لفة / Mass per rev</t>
  </si>
  <si>
    <t>ρ_b: Bulk density</t>
  </si>
  <si>
    <t>Torque input | مهم للتعبئة الوزنية</t>
  </si>
  <si>
    <t>تحويل الحجم إلى كتلة باستخدام الكثافة الظاهرية</t>
  </si>
  <si>
    <t>Mass Flow Rate</t>
  </si>
  <si>
    <t>ṁ = ρ_b · Q_v</t>
  </si>
  <si>
    <t>معدل التدفق الكتلي / Mass flow</t>
  </si>
  <si>
    <t>ρ_b</t>
  </si>
  <si>
    <t>Fill time | يستخدم لضبط زمن التعبئة</t>
  </si>
  <si>
    <t>معدل الكتلة المعبأة في الزمن</t>
  </si>
  <si>
    <t>Fill Time</t>
  </si>
  <si>
    <t>t = m_dose / ṁ</t>
  </si>
  <si>
    <t>زمن التعبئة / Fill time</t>
  </si>
  <si>
    <t>m_dose: Target mass</t>
  </si>
  <si>
    <t>Control timing | أساس التحكم في السيرفو</t>
  </si>
  <si>
    <t>الزمن اللازم لتعبئة كتلة محددة</t>
  </si>
  <si>
    <t>Revolutions per Dose</t>
  </si>
  <si>
    <t>N_dose = m_dose / m_rev</t>
  </si>
  <si>
    <t>عدد اللفات / Required turns</t>
  </si>
  <si>
    <t>Position control | يستخدم في التحكم الموضعي</t>
  </si>
  <si>
    <t>عدد لفات اللولب لتعبئة الجرعة</t>
  </si>
  <si>
    <t>Rotation Angle</t>
  </si>
  <si>
    <t>θ = 360 · N_dose</t>
  </si>
  <si>
    <t>زاوية الدوران / Rotation angle</t>
  </si>
  <si>
    <t>θ</t>
  </si>
  <si>
    <t>Servo command | مهمة في Position Control</t>
  </si>
  <si>
    <t xml:space="preserve">زاوية الدوران المطلوبة لكل تعبئة </t>
  </si>
  <si>
    <t>Held Volume</t>
  </si>
  <si>
    <t>V_hold = A · L_f · η_v</t>
  </si>
  <si>
    <t>حجم المادة داخل اللولب / Held volume</t>
  </si>
  <si>
    <t>L_f: Flighted length</t>
  </si>
  <si>
    <t>Axial load | للتأكد من عدم الانقطاع</t>
  </si>
  <si>
    <t xml:space="preserve">حجم المادة داخل الجزء الحلزوني </t>
  </si>
  <si>
    <t>Held Mass</t>
  </si>
  <si>
    <t>m_hold = ρ_b · V_hold</t>
  </si>
  <si>
    <t>كتلة داخل اللولب / Held mass</t>
  </si>
  <si>
    <t>Axial force | تدخل في حساب العزم</t>
  </si>
  <si>
    <t xml:space="preserve">كتلة المادة الموجودة داخل اللولب </t>
  </si>
  <si>
    <t>Disc Volume</t>
  </si>
  <si>
    <t>V_disc = A_disc · h</t>
  </si>
  <si>
    <t>حجم المادة فوق الصحن / Disc volume</t>
  </si>
  <si>
    <t>A_disc: Disc area</t>
  </si>
  <si>
    <t>Disc load | لتحليل الأحمال</t>
  </si>
  <si>
    <t xml:space="preserve">حجم المادة المحمولة على الصحن </t>
  </si>
  <si>
    <t>Disc Mass</t>
  </si>
  <si>
    <t>m_disc = ρ_b · V_disc</t>
  </si>
  <si>
    <t>كتلة المادة فوق الصحن / Disc mass</t>
  </si>
  <si>
    <t>Axial load | تؤثر على العزم المحوري</t>
  </si>
  <si>
    <t xml:space="preserve">وزن المادة المؤثرة على الصحن </t>
  </si>
  <si>
    <t>F = m · g</t>
  </si>
  <si>
    <t>قوة الوزن / Weight force</t>
  </si>
  <si>
    <t>g: 9.81 m/s²</t>
  </si>
  <si>
    <t>Static load  | تستخدم في التحليل الإنشائي</t>
  </si>
  <si>
    <t>القوة العمودية الناتجة عن المادة</t>
  </si>
  <si>
    <t>البند</t>
  </si>
  <si>
    <t>المواصفة</t>
  </si>
  <si>
    <t>Part Number</t>
  </si>
  <si>
    <t>MSMF042L1U1</t>
  </si>
  <si>
    <t>Product</t>
  </si>
  <si>
    <t>Servo Motor</t>
  </si>
  <si>
    <t>Product Name</t>
  </si>
  <si>
    <t>MINAS A6 Family Servo Motor</t>
  </si>
  <si>
    <t>Series</t>
  </si>
  <si>
    <t>MSMF Series</t>
  </si>
  <si>
    <t>Type</t>
  </si>
  <si>
    <t>Low Inertia</t>
  </si>
  <si>
    <t>Protection Class</t>
  </si>
  <si>
    <t>IP67</t>
  </si>
  <si>
    <t>Enclosure</t>
  </si>
  <si>
    <t>محمي باستثناء جزء الدوران من عمود الإخراج وموصلات الموتور والإنكودر</t>
  </si>
  <si>
    <t>Flange Square Dimension</t>
  </si>
  <si>
    <t>60 mm</t>
  </si>
  <si>
    <t>Motor Lead-out Configuration</t>
  </si>
  <si>
    <t>Connector</t>
  </si>
  <si>
    <t>Motor Encoder Connector</t>
  </si>
  <si>
    <t>Power Supply Capacity</t>
  </si>
  <si>
    <t>0.9 kVA</t>
  </si>
  <si>
    <t>Voltage Specifications</t>
  </si>
  <si>
    <t>200V</t>
  </si>
  <si>
    <t>Rated Output</t>
  </si>
  <si>
    <t>400W</t>
  </si>
  <si>
    <t>Rated Current (rms)</t>
  </si>
  <si>
    <t>2.4 A</t>
  </si>
  <si>
    <t>Holding Brake</t>
  </si>
  <si>
    <t>Without</t>
  </si>
  <si>
    <t>Mass</t>
  </si>
  <si>
    <t>1.2 kg</t>
  </si>
  <si>
    <t>Oil Seal</t>
  </si>
  <si>
    <t>With</t>
  </si>
  <si>
    <t>Shaft Type</t>
  </si>
  <si>
    <t>Key-way, center tap</t>
  </si>
  <si>
    <t>Rated Torque</t>
  </si>
  <si>
    <t>1.27 N·m</t>
  </si>
  <si>
    <t>Continuous Stall Torque</t>
  </si>
  <si>
    <t>Momentary Max. Peak Torque</t>
  </si>
  <si>
    <t>3.82 N·m</t>
  </si>
  <si>
    <t>Max. Current (o-p)</t>
  </si>
  <si>
    <t>10.2 A</t>
  </si>
  <si>
    <t>Regenerative Brake Frequency</t>
  </si>
  <si>
    <t>Without option: No limitWith option: No limitExternal Regenerative Resistor Part No.: DVoP4283</t>
  </si>
  <si>
    <t>Rated Rotational Speed</t>
  </si>
  <si>
    <t>3000 r/min</t>
  </si>
  <si>
    <t>Max. Rotational Speed</t>
  </si>
  <si>
    <t>6000 r/min</t>
  </si>
  <si>
    <t>Moment of Inertia of Rotor</t>
  </si>
  <si>
    <t>0.27 × 10⁻⁴ kg·m²</t>
  </si>
  <si>
    <t>Recommended Load-to-Rotor Inertia Ratio</t>
  </si>
  <si>
    <t>30 times or less</t>
  </si>
  <si>
    <t>Rotary Encoder</t>
  </si>
  <si>
    <t>23-bit Absolute/Incremental system</t>
  </si>
  <si>
    <t>Encoder Resolution</t>
  </si>
  <si>
    <t>Radial Load (Assembly)</t>
  </si>
  <si>
    <t>392 N</t>
  </si>
  <si>
    <t>Thrust Load A-direction (Assembly)</t>
  </si>
  <si>
    <t>147 N</t>
  </si>
  <si>
    <t>Thrust Load B-direction (Assembly)</t>
  </si>
  <si>
    <t>196 N</t>
  </si>
  <si>
    <t>Radial Load (Operation)</t>
  </si>
  <si>
    <t>245 N</t>
  </si>
  <si>
    <t>Thrust Load A,B-direction (Operation)</t>
  </si>
  <si>
    <t>98.0 N</t>
  </si>
  <si>
    <t>Ambient Temperature</t>
  </si>
  <si>
    <t>Derating curve available (see page 4 of datasheet)</t>
  </si>
  <si>
    <t>Applicable Drivers</t>
  </si>
  <si>
    <t>MBDLN25NE, MBDLN25SE, MBDLN25SG, MBDLT25NF, MBDLT25SF</t>
  </si>
  <si>
    <t>Driver Supply Voltage</t>
  </si>
  <si>
    <t>Single/3-phase 200V</t>
  </si>
  <si>
    <t>Driver Interface</t>
  </si>
  <si>
    <t>RTEX, Pulse, Modbus (RS485/RS232), Analog</t>
  </si>
  <si>
    <t>Frame Size</t>
  </si>
  <si>
    <t>B-Frame</t>
  </si>
  <si>
    <t>Dimensions</t>
  </si>
  <si>
    <t>60 mm flange, 129 mm length (installation), 76 mm height, 30 mm shaft length</t>
  </si>
  <si>
    <t>Key-way Dimensions</t>
  </si>
  <si>
    <t>5h9 width, M5 depth 10</t>
  </si>
  <si>
    <t>Mounting Screw</t>
  </si>
  <si>
    <t>M5, torque: 2.7–3.3 N·m</t>
  </si>
  <si>
    <t>Warranty Period</t>
  </si>
  <si>
    <t>1 year from purchase or 18 months from manufacture</t>
  </si>
  <si>
    <t>Export Control</t>
  </si>
  <si>
    <t>May require license if used in military applications</t>
  </si>
  <si>
    <t>Intended Use</t>
  </si>
  <si>
    <t>General-purpose industrial equipment only</t>
  </si>
  <si>
    <t>Safety Notes</t>
  </si>
  <si>
    <t>Must be installed by qualified personnel; fail-safe design recommended</t>
  </si>
  <si>
    <t>MBDLN25SE</t>
  </si>
  <si>
    <t>Servo Driver</t>
  </si>
  <si>
    <t>A6SE Series</t>
  </si>
  <si>
    <t>Position Control Type</t>
  </si>
  <si>
    <t>Control Method</t>
  </si>
  <si>
    <t>Position Control Only</t>
  </si>
  <si>
    <t>System Support</t>
  </si>
  <si>
    <t>Incremental System Only (لا يدعم النظام المطلق)</t>
  </si>
  <si>
    <t>Safety Function</t>
  </si>
  <si>
    <t>Without Safety Function</t>
  </si>
  <si>
    <t>Frequency Response</t>
  </si>
  <si>
    <t>3.2 kHz</t>
  </si>
  <si>
    <t>Supply Voltage</t>
  </si>
  <si>
    <t>Input Power - Main Circuit</t>
  </si>
  <si>
    <t>Single/3-phase 200 to 240V +10% -15% 50/60 Hz</t>
  </si>
  <si>
    <t>Input Power - Control Circuit</t>
  </si>
  <si>
    <t>Single-phase 200 to 240V +10% -15% 50/60 Hz</t>
  </si>
  <si>
    <t>Encoder Feedback</t>
  </si>
  <si>
    <t>23-bit Absolute/Incremental (8388608 resolution)</t>
  </si>
  <si>
    <t>Absolute System Support</t>
  </si>
  <si>
    <t>❌ لا يدعم النظام المطلق (يجب ضبط Pr.0.15 = 1)</t>
  </si>
  <si>
    <t>Pulse Input</t>
  </si>
  <si>
    <t>2 inputs (Photo-coupler input, Line receiver input)</t>
  </si>
  <si>
    <t>Pulse Output</t>
  </si>
  <si>
    <t>4 outputs (Line driver: 3 outputs, Open collector: 1 output)</t>
  </si>
  <si>
    <t>Control Signal Input</t>
  </si>
  <si>
    <t>10 general-purpose inputs (قابلة للبرمجة)</t>
  </si>
  <si>
    <t>Control Signal Output</t>
  </si>
  <si>
    <t>6 general-purpose outputs (قابلة للبرمجة)</t>
  </si>
  <si>
    <t>Analog Output</t>
  </si>
  <si>
    <t>2 outputs (Analog monitor)</t>
  </si>
  <si>
    <t>Communication</t>
  </si>
  <si>
    <t>USB (للإعداد والمراقبة فقط)</t>
  </si>
  <si>
    <t>Regenerative Resistor</t>
  </si>
  <si>
    <t>لا يحتوي على مقاومة تجديدية داخلية (خارجية فقط)</t>
  </si>
  <si>
    <t>Control Modes</t>
  </si>
  <si>
    <t>3 modes:1. Position control2. Internal velocity command3. Position + Internal velocity</t>
  </si>
  <si>
    <t>Dimensions (W×H×D)</t>
  </si>
  <si>
    <t>55 × 150 × 130 mm</t>
  </si>
  <si>
    <t>1.0 kg</t>
  </si>
  <si>
    <t>Mounting Type</t>
  </si>
  <si>
    <t>Base mount / Rack mount (optional brackets)</t>
  </si>
  <si>
    <t>2-M4 × 6 flat head screw</t>
  </si>
  <si>
    <t>Connector Types</t>
  </si>
  <si>
    <t>XA: Main &amp; control power inputXB: Motor &amp; regenerative resistorX1: USBX2: RS232/485X3: Safety function (غير مستخدم)X4: InterfaceX5: External scale (غير مستخدم)X6: Encoder</t>
  </si>
  <si>
    <t>قد يتطلب تصريحًا إذا استخدم في تطبيقات عسكرية</t>
  </si>
  <si>
    <t>يجب التركيب من قبل فني مختص، تصميم آمن ضد الأعطال، لا يستخدم في تطبيقات حساسة (نووي، طبي، طيران...) إلا بعد استشارة الشركة</t>
  </si>
  <si>
    <t>Environmental Conditions</t>
  </si>
  <si>
    <t>يُراجع الدليل للتفاصيل</t>
  </si>
  <si>
    <t>Torque Screw Recommendation</t>
  </si>
  <si>
    <t>2.7–3.3 N·m لمسامير M5</t>
  </si>
  <si>
    <t>Smoke Warning</t>
  </si>
  <si>
    <t>قد ينبعث دخان في حالة العطل (ما يعادل سيجارة واحدة)</t>
  </si>
  <si>
    <t>Sulfur Warning</t>
  </si>
  <si>
    <t>لا يستخدم في بيئات تحتوي على كبريت أو غازات حامضية</t>
  </si>
  <si>
    <t>Overvoltage Warning</t>
  </si>
  <si>
    <t>لا يتجاوز الجهد المقنن حتى لا يؤدي إلى حريق أو تلف</t>
  </si>
  <si>
    <t>User Responsibility</t>
  </si>
  <si>
    <t>المستخدم مسؤول عن التوافق الميكانيكي والكهربائي والقانوني</t>
  </si>
  <si>
    <t>Warranty Exclusions</t>
  </si>
  <si>
    <t>لا يشمل:1. الاستخدام الخاطئ أو التعديل2. التلف أثناء النقل أو السقوط3. عدم الالتزام بالمواصفات4. الكوارث الطبيعية5. دخول مواد غريبة (ماء، زيت، معدن...)</t>
  </si>
  <si>
    <t>القيمة (mm)</t>
  </si>
  <si>
    <t>AB060A-020-S2-P1</t>
  </si>
  <si>
    <t>D1</t>
  </si>
  <si>
    <t>AB Series (High Precision Planetary Gearbox)</t>
  </si>
  <si>
    <t>D2</t>
  </si>
  <si>
    <t>AB060A</t>
  </si>
  <si>
    <t>D3</t>
  </si>
  <si>
    <t>Stage</t>
  </si>
  <si>
    <t>2 Stage</t>
  </si>
  <si>
    <t>D4</t>
  </si>
  <si>
    <t>Ratio</t>
  </si>
  <si>
    <t>D5</t>
  </si>
  <si>
    <t>Shaft Option</t>
  </si>
  <si>
    <t>S2: Output Shaft with Key</t>
  </si>
  <si>
    <t>D6</t>
  </si>
  <si>
    <t>M5 x 0.8P</t>
  </si>
  <si>
    <t>Backlash Class</t>
  </si>
  <si>
    <t>P1: Reduced Backlash (≤5 arcmin)</t>
  </si>
  <si>
    <t>D7</t>
  </si>
  <si>
    <t>Nominal Output Torque (T2N)</t>
  </si>
  <si>
    <t>60 Nm</t>
  </si>
  <si>
    <t>L1</t>
  </si>
  <si>
    <t>Emergency Stop Torque (T2NOT)</t>
  </si>
  <si>
    <t>180 Nm (3 × T2N)</t>
  </si>
  <si>
    <t>L2</t>
  </si>
  <si>
    <t>Max. Input Speed (n1B)</t>
  </si>
  <si>
    <t>10,000 rpm</t>
  </si>
  <si>
    <t>L3</t>
  </si>
  <si>
    <t>Nominal Input Speed (n1N)</t>
  </si>
  <si>
    <t>5,000 rpm</t>
  </si>
  <si>
    <t>L4</t>
  </si>
  <si>
    <t>Efficiency</t>
  </si>
  <si>
    <t>≥94% (2-stage)</t>
  </si>
  <si>
    <t>L5</t>
  </si>
  <si>
    <t>Backlash (P1)</t>
  </si>
  <si>
    <t>≤5 arcmin</t>
  </si>
  <si>
    <t>L6</t>
  </si>
  <si>
    <t>Torsional Rigidity</t>
  </si>
  <si>
    <t>7 Nm/arcmin</t>
  </si>
  <si>
    <t>L7</t>
  </si>
  <si>
    <t>Max. Radial Load (F2rB)</t>
  </si>
  <si>
    <t>3,250 N</t>
  </si>
  <si>
    <t>L8</t>
  </si>
  <si>
    <t>Max. Axial Load (F2aB)</t>
  </si>
  <si>
    <t>765 N</t>
  </si>
  <si>
    <t>L9</t>
  </si>
  <si>
    <t>Service Life</t>
  </si>
  <si>
    <t>10,000 hrs (continuous operation)</t>
  </si>
  <si>
    <t>L10</t>
  </si>
  <si>
    <t>Operating Temperature</t>
  </si>
  <si>
    <t>-10°C to +90°C</t>
  </si>
  <si>
    <t>C1</t>
  </si>
  <si>
    <t>Lubrication</t>
  </si>
  <si>
    <t>Synthetic oil (مدى الحياة)</t>
  </si>
  <si>
    <t>C2</t>
  </si>
  <si>
    <t>IP65</t>
  </si>
  <si>
    <t>C4</t>
  </si>
  <si>
    <t>Mounting Position</t>
  </si>
  <si>
    <t>All directions</t>
  </si>
  <si>
    <t>C5</t>
  </si>
  <si>
    <t>Noise Level (at 3000 rpm, no load)</t>
  </si>
  <si>
    <t>≤58 dB(A)</t>
  </si>
  <si>
    <t>C6</t>
  </si>
  <si>
    <t>1.9 kg</t>
  </si>
  <si>
    <t>C7</t>
  </si>
  <si>
    <t>Inertia (J1)</t>
  </si>
  <si>
    <t>0.47 kg·cm²</t>
  </si>
  <si>
    <t>C8</t>
  </si>
  <si>
    <t>Motor Shaft Diameter (C3)</t>
  </si>
  <si>
    <t>14 mm (inferred from image and bushing note)</t>
  </si>
  <si>
    <t>C9</t>
  </si>
  <si>
    <t>C10</t>
  </si>
  <si>
    <t>B1</t>
  </si>
  <si>
    <t>H1</t>
  </si>
  <si>
    <t>Item</t>
  </si>
  <si>
    <t>Symbol / Equation</t>
  </si>
  <si>
    <t>Numerical Substitution</t>
  </si>
  <si>
    <t>Result</t>
  </si>
  <si>
    <t>Engineering Note</t>
  </si>
  <si>
    <t>Filled Mass</t>
  </si>
  <si>
    <t>0.5</t>
  </si>
  <si>
    <t>Target fill weight</t>
  </si>
  <si>
    <t>Gravity Acceleration</t>
  </si>
  <si>
    <t>g</t>
  </si>
  <si>
    <t>9.81</t>
  </si>
  <si>
    <t>m/s²</t>
  </si>
  <si>
    <t>Physical constant</t>
  </si>
  <si>
    <t>Material Weight</t>
  </si>
  <si>
    <t>W = m·g</t>
  </si>
  <si>
    <t>0.5×9.81</t>
  </si>
  <si>
    <t>4.905</t>
  </si>
  <si>
    <t>Weight force</t>
  </si>
  <si>
    <t>Outer Radius</t>
  </si>
  <si>
    <t>r_o</t>
  </si>
  <si>
    <t>60/2</t>
  </si>
  <si>
    <t>0.030</t>
  </si>
  <si>
    <t>Auger outer radius</t>
  </si>
  <si>
    <t>Inner Radius</t>
  </si>
  <si>
    <t>r_i</t>
  </si>
  <si>
    <t>16/2</t>
  </si>
  <si>
    <t>0.008</t>
  </si>
  <si>
    <t>Shaft radius</t>
  </si>
  <si>
    <t>Mean Radius</t>
  </si>
  <si>
    <t>r_m=(r_o+r_i)/2</t>
  </si>
  <si>
    <t>(0.03+0.008)/2</t>
  </si>
  <si>
    <t>0.019</t>
  </si>
  <si>
    <t>Force application radius</t>
  </si>
  <si>
    <t>Torque due to Weight</t>
  </si>
  <si>
    <t>T_weight=W·r_m</t>
  </si>
  <si>
    <t>4.905×0.019</t>
  </si>
  <si>
    <t>0.093</t>
  </si>
  <si>
    <t>Basic conveying torque</t>
  </si>
  <si>
    <t>Friction Coefficient</t>
  </si>
  <si>
    <t>μ</t>
  </si>
  <si>
    <t>0.30</t>
  </si>
  <si>
    <t>Fine salt</t>
  </si>
  <si>
    <t>F_f=μ·W</t>
  </si>
  <si>
    <t>0.3×4.905</t>
  </si>
  <si>
    <t>1.47</t>
  </si>
  <si>
    <t>Friction Torque</t>
  </si>
  <si>
    <t>T_f=F_f·r_m</t>
  </si>
  <si>
    <t>1.47×0.019</t>
  </si>
  <si>
    <t>0.028</t>
  </si>
  <si>
    <t>Internal friction torque</t>
  </si>
  <si>
    <t>Wall Friction Torque</t>
  </si>
  <si>
    <t>T_wall</t>
  </si>
  <si>
    <t>Conservative</t>
  </si>
  <si>
    <t>0.010</t>
  </si>
  <si>
    <t>Flight-wall contact</t>
  </si>
  <si>
    <t>Bearing Friction Torque</t>
  </si>
  <si>
    <t>T_bearing</t>
  </si>
  <si>
    <t>Estimate</t>
  </si>
  <si>
    <t>0.0002</t>
  </si>
  <si>
    <t>Bearing losses</t>
  </si>
  <si>
    <t>Inertia Torque</t>
  </si>
  <si>
    <t>T_inertia</t>
  </si>
  <si>
    <t>Startup estimate</t>
  </si>
  <si>
    <t>0.020</t>
  </si>
  <si>
    <t>During acceleration</t>
  </si>
  <si>
    <t>Total Raw Torque</t>
  </si>
  <si>
    <t>ΣT</t>
  </si>
  <si>
    <t>Sum(7→13)</t>
  </si>
  <si>
    <t>0.151</t>
  </si>
  <si>
    <t>Without safety factor</t>
  </si>
  <si>
    <t>Safety Factor</t>
  </si>
  <si>
    <t>SF</t>
  </si>
  <si>
    <t>2.5</t>
  </si>
  <si>
    <t>Industrial practice</t>
  </si>
  <si>
    <t>Design Torque</t>
  </si>
  <si>
    <t>T_design=SF·ΣT</t>
  </si>
  <si>
    <t>2.5×0.151</t>
  </si>
  <si>
    <t>0.378</t>
  </si>
  <si>
    <t>Required on auger</t>
  </si>
  <si>
    <t>Gear Ratio</t>
  </si>
  <si>
    <t>i</t>
  </si>
  <si>
    <t>20</t>
  </si>
  <si>
    <t>Planetary gearbox</t>
  </si>
  <si>
    <t>Gearbox Efficiency</t>
  </si>
  <si>
    <t>η</t>
  </si>
  <si>
    <t>0.95</t>
  </si>
  <si>
    <t>High precision gearbox</t>
  </si>
  <si>
    <t>Required Servo Torque</t>
  </si>
  <si>
    <t>T_s=T_d/(i·η)</t>
  </si>
  <si>
    <t>0.378/(20×0.95)</t>
  </si>
  <si>
    <t>Actual servo load</t>
  </si>
  <si>
    <t>Servo Rated Torque</t>
  </si>
  <si>
    <t>Datasheet</t>
  </si>
  <si>
    <t>MSMF042L1U</t>
  </si>
  <si>
    <t>0.16</t>
  </si>
  <si>
    <t>Continuous operation</t>
  </si>
  <si>
    <t>Servo Peak Torque</t>
  </si>
  <si>
    <t>0.48</t>
  </si>
  <si>
    <t>Acceleration peak</t>
  </si>
  <si>
    <t>Gearbox Output Torque</t>
  </si>
  <si>
    <t>T_out=T_s·i·η</t>
  </si>
  <si>
    <t>0.16×20×0.95</t>
  </si>
  <si>
    <t>3.04</t>
  </si>
  <si>
    <t>Available torque</t>
  </si>
  <si>
    <t>Effective Safety Factor</t>
  </si>
  <si>
    <t>T_out/T_design</t>
  </si>
  <si>
    <t>3.04/0.378</t>
  </si>
  <si>
    <t>≈8</t>
  </si>
  <si>
    <t>Very safe</t>
  </si>
  <si>
    <t>Design Status</t>
  </si>
  <si>
    <t>SAFE</t>
  </si>
  <si>
    <t>No resizing required</t>
  </si>
  <si>
    <t>Torque Name</t>
  </si>
  <si>
    <t>Symbols Description</t>
  </si>
  <si>
    <t>Engineering Purpose</t>
  </si>
  <si>
    <t>Material Weight Torque</t>
  </si>
  <si>
    <t>T_m = m·g·r_m</t>
  </si>
  <si>
    <t>m: mass, g: gravity, r_m: mean radius</t>
  </si>
  <si>
    <t>Torque due to material weight</t>
  </si>
  <si>
    <t>Axial Friction Torque</t>
  </si>
  <si>
    <t>T_a = μ·m·g·r_m</t>
  </si>
  <si>
    <t>μ: friction coefficient</t>
  </si>
  <si>
    <t>Axial resistance of material</t>
  </si>
  <si>
    <t>Shear Torque</t>
  </si>
  <si>
    <t>T_s = τ·A·r_m</t>
  </si>
  <si>
    <t>τ: shear stress, A: shear area</t>
  </si>
  <si>
    <t>Material internal shear</t>
  </si>
  <si>
    <t>T_w = μ_w·N·r_o</t>
  </si>
  <si>
    <t>μ_w: wall friction, N: normal force</t>
  </si>
  <si>
    <t>Flight-wall friction</t>
  </si>
  <si>
    <t>T_b = f_b·F_r·r_b</t>
  </si>
  <si>
    <t>f_b: bearing factor</t>
  </si>
  <si>
    <t>Bearing resistance</t>
  </si>
  <si>
    <t>Coupling/Key Loss Torque</t>
  </si>
  <si>
    <t>T_k ≈ μ·F·r</t>
  </si>
  <si>
    <t>Losses in coupling/key</t>
  </si>
  <si>
    <t>Screw Inertia Torque</t>
  </si>
  <si>
    <t>T_J = J·α</t>
  </si>
  <si>
    <t>J: inertia, α: angular accel.</t>
  </si>
  <si>
    <t>Startup torque</t>
  </si>
  <si>
    <t>Material Inertia Torque</t>
  </si>
  <si>
    <t>T_Jm = J_m·α</t>
  </si>
  <si>
    <t>J_m: material inertia</t>
  </si>
  <si>
    <t>Material dynamic torque</t>
  </si>
  <si>
    <t>T_raw = ΣT</t>
  </si>
  <si>
    <t>Sum of all torques</t>
  </si>
  <si>
    <t>T_design = SF·T_raw</t>
  </si>
  <si>
    <t>SF: safety factor</t>
  </si>
  <si>
    <t>Design condition</t>
  </si>
  <si>
    <t>T_servo = T_design /(G·η)</t>
  </si>
  <si>
    <t>G: gear ratio, η: efficiency</t>
  </si>
  <si>
    <t>Motor sizing</t>
  </si>
  <si>
    <t>T_out = T_servo·G·η</t>
  </si>
  <si>
    <t>Actual Safety Factor</t>
  </si>
  <si>
    <t>SF_actual = T_out / T_design</t>
  </si>
  <si>
    <t>Safety check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</si>
</sst>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rgb="FF000000"/>
      <name val="Arial"/>
      <scheme val="minor"/>
    </font>
    <font/>
    <font>
      <sz val="11.0"/>
      <name val="Arial"/>
    </font>
    <font>
      <b/>
      <sz val="11.0"/>
      <name val="Arial"/>
    </font>
    <font>
      <sz val="14.0"/>
      <name val="Arial"/>
    </font>
    <font>
      <sz val="14.0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  <xf borderId="0" fillId="0" fontId="2" numFmtId="0" xfId="0" applyAlignment="1" applyFont="1">
      <alignment vertical="bottom"/>
    </xf>
    <xf borderId="0" fillId="0" fontId="2" numFmtId="0" xfId="0" applyAlignment="1" applyFont="1">
      <alignment horizontal="right" vertical="bottom"/>
    </xf>
    <xf borderId="0" fillId="0" fontId="1" numFmtId="0" xfId="0" applyAlignment="1" applyFont="1">
      <alignment readingOrder="0"/>
    </xf>
    <xf borderId="0" fillId="0" fontId="2" numFmtId="0" xfId="0" applyAlignment="1" applyFont="1">
      <alignment vertical="bottom"/>
    </xf>
    <xf borderId="0" fillId="0" fontId="2" numFmtId="0" xfId="0" applyAlignment="1" applyFont="1">
      <alignment horizontal="right" vertical="bottom"/>
    </xf>
    <xf borderId="0" fillId="0" fontId="3" numFmtId="0" xfId="0" applyAlignment="1" applyFont="1">
      <alignment vertical="bottom"/>
    </xf>
    <xf borderId="0" fillId="0" fontId="2" numFmtId="0" xfId="0" applyAlignment="1" applyFont="1">
      <alignment horizontal="center" vertical="bottom"/>
    </xf>
    <xf borderId="0" fillId="0" fontId="2" numFmtId="0" xfId="0" applyAlignment="1" applyFont="1">
      <alignment horizontal="right" readingOrder="0" vertical="bottom"/>
    </xf>
    <xf borderId="0" fillId="0" fontId="1" numFmtId="0" xfId="0" applyAlignment="1" applyFont="1">
      <alignment readingOrder="0"/>
    </xf>
    <xf borderId="0" fillId="0" fontId="1" numFmtId="3" xfId="0" applyFont="1" applyNumberFormat="1"/>
    <xf borderId="0" fillId="0" fontId="4" numFmtId="0" xfId="0" applyAlignment="1" applyFont="1">
      <alignment vertical="bottom"/>
    </xf>
    <xf borderId="0" fillId="0" fontId="5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cap="flat" cmpd="sng" w="9525" algn="ctr">
          <a:solidFill>
            <a:schemeClr val="phClr">
              <a:shade val="95000"/>
              <a:satMod val="105000"/>
            </a:schemeClr>
          </a:solidFill>
          <a:prstDash val="solid"/>
        </a:ln>
        <a:ln cap="flat" cmpd="sng" w="25400" algn="ctr">
          <a:solidFill>
            <a:schemeClr val="phClr"/>
          </a:solidFill>
          <a:prstDash val="solid"/>
        </a:ln>
        <a:ln cap="flat" cmpd="sng" w="38100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rotWithShape="0" dir="5400000" dist="20000">
              <a:srgbClr val="000000">
                <a:alpha val="38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b="180000" l="50000" r="50000" t="-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b="50000" l="50000" r="50000" t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7.14"/>
    <col customWidth="1" min="2" max="2" width="50.29"/>
    <col customWidth="1" min="3" max="3" width="11.29"/>
    <col customWidth="1" min="4" max="4" width="8.71"/>
    <col customWidth="1" min="5" max="5" width="37.14"/>
    <col customWidth="1" min="6" max="6" width="8.7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s">
        <v>6</v>
      </c>
      <c r="C2">
        <v>444.0</v>
      </c>
      <c r="D2" t="s">
        <v>7</v>
      </c>
      <c r="E2" t="s">
        <v>8</v>
      </c>
    </row>
    <row r="3">
      <c r="A3" t="s">
        <v>9</v>
      </c>
      <c r="B3" t="s">
        <v>10</v>
      </c>
      <c r="C3">
        <v>286.0</v>
      </c>
      <c r="D3" t="s">
        <v>7</v>
      </c>
      <c r="E3" t="s">
        <v>11</v>
      </c>
    </row>
    <row r="4">
      <c r="A4" t="s">
        <v>12</v>
      </c>
      <c r="B4" t="s">
        <v>13</v>
      </c>
      <c r="C4">
        <v>4.5</v>
      </c>
      <c r="D4" t="s">
        <v>14</v>
      </c>
      <c r="E4" t="s">
        <v>15</v>
      </c>
    </row>
    <row r="5">
      <c r="A5" t="s">
        <v>16</v>
      </c>
      <c r="B5" t="s">
        <v>17</v>
      </c>
      <c r="C5">
        <v>60.0</v>
      </c>
      <c r="D5" t="s">
        <v>7</v>
      </c>
      <c r="E5" t="s">
        <v>18</v>
      </c>
    </row>
    <row r="6">
      <c r="A6" t="s">
        <v>19</v>
      </c>
      <c r="B6" t="s">
        <v>20</v>
      </c>
      <c r="C6">
        <v>60.0</v>
      </c>
      <c r="D6" t="s">
        <v>7</v>
      </c>
      <c r="E6" t="s">
        <v>21</v>
      </c>
    </row>
    <row r="7">
      <c r="A7" t="s">
        <v>22</v>
      </c>
      <c r="B7" t="s">
        <v>23</v>
      </c>
      <c r="C7">
        <v>16.0</v>
      </c>
      <c r="D7" t="s">
        <v>7</v>
      </c>
      <c r="E7" t="s">
        <v>24</v>
      </c>
    </row>
    <row r="8">
      <c r="A8" t="s">
        <v>25</v>
      </c>
      <c r="B8" t="s">
        <v>26</v>
      </c>
      <c r="C8">
        <v>110.0</v>
      </c>
      <c r="D8" t="s">
        <v>7</v>
      </c>
      <c r="E8" t="s">
        <v>27</v>
      </c>
    </row>
    <row r="9">
      <c r="A9" t="s">
        <v>28</v>
      </c>
      <c r="B9" t="s">
        <v>29</v>
      </c>
      <c r="C9">
        <v>16.0</v>
      </c>
      <c r="D9" t="s">
        <v>7</v>
      </c>
      <c r="E9" t="s">
        <v>30</v>
      </c>
    </row>
    <row r="10">
      <c r="A10" t="s">
        <v>31</v>
      </c>
      <c r="B10" t="s">
        <v>32</v>
      </c>
      <c r="C10">
        <v>35.0</v>
      </c>
      <c r="D10" t="s">
        <v>7</v>
      </c>
      <c r="E10" t="s">
        <v>33</v>
      </c>
    </row>
    <row r="11">
      <c r="A11" t="s">
        <v>34</v>
      </c>
      <c r="B11" t="s">
        <v>35</v>
      </c>
      <c r="C11">
        <v>14.0</v>
      </c>
      <c r="D11" t="s">
        <v>7</v>
      </c>
      <c r="E11" t="s">
        <v>36</v>
      </c>
    </row>
    <row r="12">
      <c r="A12" t="s">
        <v>37</v>
      </c>
      <c r="B12" t="s">
        <v>38</v>
      </c>
      <c r="C12">
        <v>4.0</v>
      </c>
      <c r="D12" t="s">
        <v>7</v>
      </c>
      <c r="E12" t="s">
        <v>39</v>
      </c>
    </row>
    <row r="13">
      <c r="A13" t="s">
        <v>40</v>
      </c>
      <c r="B13" t="s">
        <v>41</v>
      </c>
      <c r="C13">
        <v>22.0</v>
      </c>
      <c r="D13" t="s">
        <v>7</v>
      </c>
      <c r="E13" t="s">
        <v>42</v>
      </c>
    </row>
    <row r="14">
      <c r="A14" t="s">
        <v>43</v>
      </c>
      <c r="B14" t="s">
        <v>44</v>
      </c>
      <c r="C14" t="s">
        <v>45</v>
      </c>
      <c r="D14" t="s">
        <v>7</v>
      </c>
      <c r="E14" t="s">
        <v>46</v>
      </c>
    </row>
    <row r="15">
      <c r="A15" s="1" t="s">
        <v>47</v>
      </c>
      <c r="B15" t="s">
        <v>48</v>
      </c>
      <c r="C15" t="s">
        <v>49</v>
      </c>
      <c r="D15" t="s">
        <v>50</v>
      </c>
      <c r="E15" t="s">
        <v>51</v>
      </c>
    </row>
    <row r="16">
      <c r="A16" t="s">
        <v>52</v>
      </c>
      <c r="B16" t="s">
        <v>53</v>
      </c>
      <c r="C16" s="1">
        <v>4.0</v>
      </c>
      <c r="D16" t="s">
        <v>7</v>
      </c>
      <c r="E16" t="s">
        <v>54</v>
      </c>
    </row>
    <row r="17">
      <c r="A17" s="1" t="s">
        <v>55</v>
      </c>
      <c r="B17" s="1" t="s">
        <v>56</v>
      </c>
      <c r="C17" s="1">
        <v>9.0</v>
      </c>
      <c r="D17" s="1" t="s">
        <v>7</v>
      </c>
    </row>
    <row r="18">
      <c r="A18" s="1" t="s">
        <v>52</v>
      </c>
      <c r="B18" s="1" t="s">
        <v>57</v>
      </c>
      <c r="C18" s="1" t="s">
        <v>58</v>
      </c>
      <c r="D18" s="1" t="s">
        <v>7</v>
      </c>
      <c r="E18" s="1" t="s">
        <v>59</v>
      </c>
    </row>
    <row r="19">
      <c r="A19" s="1" t="s">
        <v>52</v>
      </c>
      <c r="B19" s="1" t="s">
        <v>60</v>
      </c>
      <c r="C19" s="1">
        <v>0.5</v>
      </c>
      <c r="D19" s="1" t="s">
        <v>7</v>
      </c>
      <c r="E19" s="1" t="s">
        <v>61</v>
      </c>
    </row>
    <row r="20">
      <c r="A20" s="1" t="s">
        <v>52</v>
      </c>
      <c r="B20" s="1" t="s">
        <v>57</v>
      </c>
      <c r="C20" s="1" t="s">
        <v>62</v>
      </c>
      <c r="D20" s="1" t="s">
        <v>7</v>
      </c>
      <c r="E20" s="1" t="s">
        <v>63</v>
      </c>
    </row>
    <row r="21" ht="15.75" customHeight="1">
      <c r="A21" s="1" t="s">
        <v>52</v>
      </c>
      <c r="B21" s="1" t="s">
        <v>64</v>
      </c>
      <c r="C21" s="1">
        <v>2.0</v>
      </c>
      <c r="D21" s="1" t="s">
        <v>7</v>
      </c>
    </row>
    <row r="22" ht="15.75" customHeight="1">
      <c r="A22" s="1" t="s">
        <v>65</v>
      </c>
      <c r="B22" s="1" t="s">
        <v>66</v>
      </c>
      <c r="C22" s="1" t="s">
        <v>49</v>
      </c>
    </row>
    <row r="23" ht="15.75" customHeight="1">
      <c r="A23" s="1" t="s">
        <v>65</v>
      </c>
      <c r="B23" s="1" t="s">
        <v>67</v>
      </c>
      <c r="C23" s="1" t="s">
        <v>68</v>
      </c>
    </row>
    <row r="24" ht="15.75" customHeight="1">
      <c r="A24" s="1" t="s">
        <v>69</v>
      </c>
      <c r="B24" s="1" t="s">
        <v>70</v>
      </c>
      <c r="C24" s="1">
        <v>0.5</v>
      </c>
      <c r="D24" s="1" t="s">
        <v>7</v>
      </c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55.71"/>
    <col customWidth="1" min="2" max="3" width="14.43"/>
    <col customWidth="1" min="4" max="4" width="104.71"/>
    <col customWidth="1" min="5" max="5" width="82.29"/>
    <col customWidth="1" min="6" max="6" width="14.43"/>
  </cols>
  <sheetData>
    <row r="1">
      <c r="A1" s="2" t="s">
        <v>71</v>
      </c>
      <c r="B1" s="2" t="s">
        <v>2</v>
      </c>
      <c r="C1" s="2" t="s">
        <v>3</v>
      </c>
      <c r="D1" s="2" t="s">
        <v>72</v>
      </c>
      <c r="E1" s="3" t="s">
        <v>1</v>
      </c>
    </row>
    <row r="2">
      <c r="A2" s="2" t="s">
        <v>73</v>
      </c>
      <c r="B2" s="2">
        <v>100.0</v>
      </c>
      <c r="C2" s="2" t="s">
        <v>7</v>
      </c>
      <c r="D2" s="2" t="s">
        <v>74</v>
      </c>
      <c r="E2" s="4" t="s">
        <v>75</v>
      </c>
    </row>
    <row r="3">
      <c r="A3" s="2" t="s">
        <v>76</v>
      </c>
      <c r="B3" s="2">
        <v>14.5</v>
      </c>
      <c r="C3" s="2" t="s">
        <v>7</v>
      </c>
      <c r="D3" s="2" t="s">
        <v>77</v>
      </c>
      <c r="E3" s="4" t="s">
        <v>78</v>
      </c>
    </row>
    <row r="4">
      <c r="A4" s="2" t="s">
        <v>79</v>
      </c>
      <c r="B4" s="2">
        <v>69.55</v>
      </c>
      <c r="C4" s="2" t="s">
        <v>7</v>
      </c>
      <c r="D4" s="2" t="s">
        <v>80</v>
      </c>
      <c r="E4" s="4" t="s">
        <v>81</v>
      </c>
    </row>
    <row r="5">
      <c r="A5" s="2" t="s">
        <v>82</v>
      </c>
      <c r="B5" s="2">
        <v>3.0</v>
      </c>
      <c r="C5" s="2" t="s">
        <v>7</v>
      </c>
      <c r="D5" s="2" t="s">
        <v>83</v>
      </c>
      <c r="E5" s="4" t="s">
        <v>84</v>
      </c>
    </row>
    <row r="6">
      <c r="A6" s="2" t="s">
        <v>85</v>
      </c>
      <c r="B6" s="2">
        <v>55.0</v>
      </c>
      <c r="C6" s="2" t="s">
        <v>86</v>
      </c>
      <c r="D6" s="2" t="s">
        <v>87</v>
      </c>
      <c r="E6" s="4" t="s">
        <v>88</v>
      </c>
    </row>
    <row r="7">
      <c r="A7" s="2" t="s">
        <v>89</v>
      </c>
      <c r="B7" s="2" t="s">
        <v>90</v>
      </c>
      <c r="C7" s="2" t="s">
        <v>86</v>
      </c>
      <c r="D7" s="2" t="s">
        <v>91</v>
      </c>
      <c r="E7" s="4" t="s">
        <v>92</v>
      </c>
    </row>
    <row r="8">
      <c r="A8" s="2" t="s">
        <v>93</v>
      </c>
      <c r="B8" s="2">
        <v>3.0</v>
      </c>
      <c r="C8" s="2" t="s">
        <v>7</v>
      </c>
      <c r="D8" s="2" t="s">
        <v>94</v>
      </c>
      <c r="E8" s="4" t="s">
        <v>95</v>
      </c>
    </row>
    <row r="9">
      <c r="A9" s="2" t="s">
        <v>96</v>
      </c>
      <c r="B9" s="2">
        <v>10.0</v>
      </c>
      <c r="C9" s="2" t="s">
        <v>7</v>
      </c>
      <c r="D9" s="2" t="s">
        <v>97</v>
      </c>
      <c r="E9" s="4" t="s">
        <v>98</v>
      </c>
    </row>
    <row r="10">
      <c r="A10" s="2" t="s">
        <v>99</v>
      </c>
      <c r="B10" s="2">
        <v>3.0</v>
      </c>
      <c r="C10" s="2" t="s">
        <v>7</v>
      </c>
      <c r="D10" s="2" t="s">
        <v>100</v>
      </c>
      <c r="E10" s="4" t="s">
        <v>101</v>
      </c>
    </row>
    <row r="11">
      <c r="A11" s="1"/>
      <c r="B11" s="1"/>
      <c r="C11" s="1"/>
      <c r="E11" s="3"/>
    </row>
    <row r="12">
      <c r="E12" s="3"/>
    </row>
    <row r="13">
      <c r="A13" s="2"/>
      <c r="B13" s="2"/>
      <c r="C13" s="2"/>
      <c r="D13" s="2"/>
      <c r="E13" s="3"/>
    </row>
    <row r="14">
      <c r="A14" s="2"/>
      <c r="B14" s="2"/>
      <c r="C14" s="2"/>
      <c r="D14" s="5"/>
      <c r="E14" s="3"/>
    </row>
    <row r="15">
      <c r="A15" s="2"/>
      <c r="B15" s="2"/>
      <c r="C15" s="2"/>
      <c r="D15" s="5"/>
      <c r="E15" s="3"/>
    </row>
    <row r="16">
      <c r="A16" s="2"/>
      <c r="B16" s="2"/>
      <c r="C16" s="2"/>
      <c r="D16" s="5"/>
      <c r="E16" s="3"/>
    </row>
    <row r="17">
      <c r="A17" s="2"/>
      <c r="B17" s="2"/>
      <c r="C17" s="2"/>
      <c r="D17" s="5"/>
      <c r="E17" s="3"/>
    </row>
    <row r="18">
      <c r="A18" s="2"/>
      <c r="B18" s="2"/>
      <c r="C18" s="2"/>
      <c r="D18" s="5"/>
      <c r="E18" s="3"/>
    </row>
    <row r="19">
      <c r="A19" s="2"/>
      <c r="B19" s="2"/>
      <c r="C19" s="2"/>
      <c r="D19" s="5"/>
      <c r="E19" s="3"/>
    </row>
    <row r="20">
      <c r="A20" s="2"/>
      <c r="B20" s="2"/>
      <c r="C20" s="2"/>
      <c r="D20" s="5"/>
      <c r="E20" s="3"/>
    </row>
    <row r="21" ht="15.75" customHeight="1">
      <c r="A21" s="2"/>
      <c r="B21" s="2"/>
      <c r="C21" s="2"/>
      <c r="D21" s="5"/>
      <c r="E21" s="3"/>
    </row>
    <row r="22" ht="15.75" customHeight="1">
      <c r="A22" s="2"/>
      <c r="B22" s="2"/>
      <c r="C22" s="2"/>
      <c r="D22" s="5"/>
      <c r="E22" s="3"/>
    </row>
    <row r="23" ht="15.75" customHeight="1">
      <c r="E23" s="3"/>
    </row>
    <row r="24" ht="15.75" customHeight="1">
      <c r="E24" s="3"/>
    </row>
    <row r="25" ht="15.75" customHeight="1">
      <c r="E25" s="3"/>
    </row>
    <row r="26" ht="15.75" customHeight="1">
      <c r="E26" s="3"/>
    </row>
    <row r="27" ht="15.75" customHeight="1">
      <c r="E27" s="3"/>
    </row>
    <row r="28" ht="15.75" customHeight="1">
      <c r="E28" s="3"/>
    </row>
    <row r="29" ht="15.75" customHeight="1">
      <c r="E29" s="3"/>
    </row>
    <row r="30" ht="15.75" customHeight="1">
      <c r="E30" s="3"/>
    </row>
    <row r="31" ht="15.75" customHeight="1">
      <c r="E31" s="3"/>
    </row>
    <row r="32" ht="15.75" customHeight="1">
      <c r="E32" s="3"/>
    </row>
    <row r="33" ht="15.75" customHeight="1">
      <c r="E33" s="3"/>
    </row>
    <row r="34" ht="15.75" customHeight="1">
      <c r="E34" s="3"/>
    </row>
    <row r="35" ht="15.75" customHeight="1">
      <c r="E35" s="3"/>
    </row>
    <row r="36" ht="15.75" customHeight="1">
      <c r="E36" s="3"/>
    </row>
    <row r="37" ht="15.75" customHeight="1">
      <c r="E37" s="3"/>
    </row>
    <row r="38" ht="15.75" customHeight="1">
      <c r="E38" s="3"/>
    </row>
    <row r="39" ht="15.75" customHeight="1">
      <c r="E39" s="3"/>
    </row>
    <row r="40" ht="15.75" customHeight="1">
      <c r="E40" s="3"/>
    </row>
    <row r="41" ht="15.75" customHeight="1">
      <c r="E41" s="3"/>
    </row>
    <row r="42" ht="15.75" customHeight="1">
      <c r="E42" s="3"/>
    </row>
    <row r="43" ht="15.75" customHeight="1">
      <c r="E43" s="3"/>
    </row>
    <row r="44" ht="15.75" customHeight="1">
      <c r="E44" s="3"/>
    </row>
    <row r="45" ht="15.75" customHeight="1">
      <c r="E45" s="3"/>
    </row>
    <row r="46" ht="15.75" customHeight="1">
      <c r="E46" s="3"/>
    </row>
    <row r="47" ht="15.75" customHeight="1">
      <c r="E47" s="3"/>
    </row>
    <row r="48" ht="15.75" customHeight="1">
      <c r="E48" s="3"/>
    </row>
    <row r="49" ht="15.75" customHeight="1">
      <c r="E49" s="3"/>
    </row>
    <row r="50" ht="15.75" customHeight="1">
      <c r="E50" s="3"/>
    </row>
    <row r="51" ht="15.75" customHeight="1">
      <c r="E51" s="3"/>
    </row>
    <row r="52" ht="15.75" customHeight="1">
      <c r="E52" s="3"/>
    </row>
    <row r="53" ht="15.75" customHeight="1">
      <c r="E53" s="3"/>
    </row>
    <row r="54" ht="15.75" customHeight="1">
      <c r="E54" s="3"/>
    </row>
    <row r="55" ht="15.75" customHeight="1">
      <c r="E55" s="3"/>
    </row>
    <row r="56" ht="15.75" customHeight="1">
      <c r="E56" s="3"/>
    </row>
    <row r="57" ht="15.75" customHeight="1">
      <c r="E57" s="3"/>
    </row>
    <row r="58" ht="15.75" customHeight="1">
      <c r="E58" s="3"/>
    </row>
    <row r="59" ht="15.75" customHeight="1">
      <c r="E59" s="3"/>
    </row>
    <row r="60" ht="15.75" customHeight="1">
      <c r="E60" s="3"/>
    </row>
    <row r="61" ht="15.75" customHeight="1">
      <c r="E61" s="3"/>
    </row>
    <row r="62" ht="15.75" customHeight="1">
      <c r="E62" s="3"/>
    </row>
    <row r="63" ht="15.75" customHeight="1">
      <c r="E63" s="3"/>
    </row>
    <row r="64" ht="15.75" customHeight="1">
      <c r="E64" s="3"/>
    </row>
    <row r="65" ht="15.75" customHeight="1">
      <c r="E65" s="3"/>
    </row>
    <row r="66" ht="15.75" customHeight="1">
      <c r="E66" s="3"/>
    </row>
    <row r="67" ht="15.75" customHeight="1">
      <c r="E67" s="3"/>
    </row>
    <row r="68" ht="15.75" customHeight="1">
      <c r="E68" s="3"/>
    </row>
    <row r="69" ht="15.75" customHeight="1">
      <c r="E69" s="3"/>
    </row>
    <row r="70" ht="15.75" customHeight="1">
      <c r="E70" s="3"/>
    </row>
    <row r="71" ht="15.75" customHeight="1">
      <c r="E71" s="3"/>
    </row>
    <row r="72" ht="15.75" customHeight="1">
      <c r="E72" s="3"/>
    </row>
    <row r="73" ht="15.75" customHeight="1">
      <c r="E73" s="3"/>
    </row>
    <row r="74" ht="15.75" customHeight="1">
      <c r="E74" s="3"/>
    </row>
    <row r="75" ht="15.75" customHeight="1">
      <c r="E75" s="3"/>
    </row>
    <row r="76" ht="15.75" customHeight="1">
      <c r="E76" s="3"/>
    </row>
    <row r="77" ht="15.75" customHeight="1">
      <c r="E77" s="3"/>
    </row>
    <row r="78" ht="15.75" customHeight="1">
      <c r="E78" s="3"/>
    </row>
    <row r="79" ht="15.75" customHeight="1">
      <c r="E79" s="3"/>
    </row>
    <row r="80" ht="15.75" customHeight="1">
      <c r="E80" s="3"/>
    </row>
    <row r="81" ht="15.75" customHeight="1">
      <c r="E81" s="3"/>
    </row>
    <row r="82" ht="15.75" customHeight="1">
      <c r="E82" s="3"/>
    </row>
    <row r="83" ht="15.75" customHeight="1">
      <c r="E83" s="3"/>
    </row>
    <row r="84" ht="15.75" customHeight="1">
      <c r="E84" s="3"/>
    </row>
    <row r="85" ht="15.75" customHeight="1">
      <c r="E85" s="3"/>
    </row>
    <row r="86" ht="15.75" customHeight="1">
      <c r="E86" s="3"/>
    </row>
    <row r="87" ht="15.75" customHeight="1">
      <c r="E87" s="3"/>
    </row>
    <row r="88" ht="15.75" customHeight="1">
      <c r="E88" s="3"/>
    </row>
    <row r="89" ht="15.75" customHeight="1">
      <c r="E89" s="3"/>
    </row>
    <row r="90" ht="15.75" customHeight="1">
      <c r="E90" s="3"/>
    </row>
    <row r="91" ht="15.75" customHeight="1">
      <c r="E91" s="3"/>
    </row>
    <row r="92" ht="15.75" customHeight="1">
      <c r="E92" s="3"/>
    </row>
    <row r="93" ht="15.75" customHeight="1">
      <c r="E93" s="3"/>
    </row>
    <row r="94" ht="15.75" customHeight="1">
      <c r="E94" s="3"/>
    </row>
    <row r="95" ht="15.75" customHeight="1">
      <c r="E95" s="3"/>
    </row>
    <row r="96" ht="15.75" customHeight="1">
      <c r="E96" s="3"/>
    </row>
    <row r="97" ht="15.75" customHeight="1">
      <c r="E97" s="3"/>
    </row>
    <row r="98" ht="15.75" customHeight="1">
      <c r="E98" s="3"/>
    </row>
    <row r="99" ht="15.75" customHeight="1">
      <c r="E99" s="3"/>
    </row>
    <row r="100" ht="15.75" customHeight="1">
      <c r="E100" s="3"/>
    </row>
    <row r="101" ht="15.75" customHeight="1">
      <c r="E101" s="3"/>
    </row>
    <row r="102" ht="15.75" customHeight="1">
      <c r="E102" s="3"/>
    </row>
    <row r="103" ht="15.75" customHeight="1">
      <c r="E103" s="3"/>
    </row>
    <row r="104" ht="15.75" customHeight="1">
      <c r="E104" s="3"/>
    </row>
    <row r="105" ht="15.75" customHeight="1">
      <c r="E105" s="3"/>
    </row>
    <row r="106" ht="15.75" customHeight="1">
      <c r="E106" s="3"/>
    </row>
    <row r="107" ht="15.75" customHeight="1">
      <c r="E107" s="3"/>
    </row>
    <row r="108" ht="15.75" customHeight="1">
      <c r="E108" s="3"/>
    </row>
    <row r="109" ht="15.75" customHeight="1">
      <c r="E109" s="3"/>
    </row>
    <row r="110" ht="15.75" customHeight="1">
      <c r="E110" s="3"/>
    </row>
    <row r="111" ht="15.75" customHeight="1">
      <c r="E111" s="3"/>
    </row>
    <row r="112" ht="15.75" customHeight="1">
      <c r="E112" s="3"/>
    </row>
    <row r="113" ht="15.75" customHeight="1">
      <c r="E113" s="3"/>
    </row>
    <row r="114" ht="15.75" customHeight="1">
      <c r="E114" s="3"/>
    </row>
    <row r="115" ht="15.75" customHeight="1">
      <c r="E115" s="3"/>
    </row>
    <row r="116" ht="15.75" customHeight="1">
      <c r="E116" s="3"/>
    </row>
    <row r="117" ht="15.75" customHeight="1">
      <c r="E117" s="3"/>
    </row>
    <row r="118" ht="15.75" customHeight="1">
      <c r="E118" s="3"/>
    </row>
    <row r="119" ht="15.75" customHeight="1">
      <c r="E119" s="3"/>
    </row>
    <row r="120" ht="15.75" customHeight="1">
      <c r="E120" s="3"/>
    </row>
    <row r="121" ht="15.75" customHeight="1">
      <c r="E121" s="3"/>
    </row>
    <row r="122" ht="15.75" customHeight="1">
      <c r="E122" s="3"/>
    </row>
    <row r="123" ht="15.75" customHeight="1">
      <c r="E123" s="3"/>
    </row>
    <row r="124" ht="15.75" customHeight="1">
      <c r="E124" s="3"/>
    </row>
    <row r="125" ht="15.75" customHeight="1">
      <c r="E125" s="3"/>
    </row>
    <row r="126" ht="15.75" customHeight="1">
      <c r="E126" s="3"/>
    </row>
    <row r="127" ht="15.75" customHeight="1">
      <c r="E127" s="3"/>
    </row>
    <row r="128" ht="15.75" customHeight="1">
      <c r="E128" s="3"/>
    </row>
    <row r="129" ht="15.75" customHeight="1">
      <c r="E129" s="3"/>
    </row>
    <row r="130" ht="15.75" customHeight="1">
      <c r="E130" s="3"/>
    </row>
    <row r="131" ht="15.75" customHeight="1">
      <c r="E131" s="3"/>
    </row>
    <row r="132" ht="15.75" customHeight="1">
      <c r="E132" s="3"/>
    </row>
    <row r="133" ht="15.75" customHeight="1">
      <c r="E133" s="3"/>
    </row>
    <row r="134" ht="15.75" customHeight="1">
      <c r="E134" s="3"/>
    </row>
    <row r="135" ht="15.75" customHeight="1">
      <c r="E135" s="3"/>
    </row>
    <row r="136" ht="15.75" customHeight="1">
      <c r="E136" s="3"/>
    </row>
    <row r="137" ht="15.75" customHeight="1">
      <c r="E137" s="3"/>
    </row>
    <row r="138" ht="15.75" customHeight="1">
      <c r="E138" s="3"/>
    </row>
    <row r="139" ht="15.75" customHeight="1">
      <c r="E139" s="3"/>
    </row>
    <row r="140" ht="15.75" customHeight="1">
      <c r="E140" s="3"/>
    </row>
    <row r="141" ht="15.75" customHeight="1">
      <c r="E141" s="3"/>
    </row>
    <row r="142" ht="15.75" customHeight="1">
      <c r="E142" s="3"/>
    </row>
    <row r="143" ht="15.75" customHeight="1">
      <c r="E143" s="3"/>
    </row>
    <row r="144" ht="15.75" customHeight="1">
      <c r="E144" s="3"/>
    </row>
    <row r="145" ht="15.75" customHeight="1">
      <c r="E145" s="3"/>
    </row>
    <row r="146" ht="15.75" customHeight="1">
      <c r="E146" s="3"/>
    </row>
    <row r="147" ht="15.75" customHeight="1">
      <c r="E147" s="3"/>
    </row>
    <row r="148" ht="15.75" customHeight="1">
      <c r="E148" s="3"/>
    </row>
    <row r="149" ht="15.75" customHeight="1">
      <c r="E149" s="3"/>
    </row>
    <row r="150" ht="15.75" customHeight="1">
      <c r="E150" s="3"/>
    </row>
    <row r="151" ht="15.75" customHeight="1">
      <c r="E151" s="3"/>
    </row>
    <row r="152" ht="15.75" customHeight="1">
      <c r="E152" s="3"/>
    </row>
    <row r="153" ht="15.75" customHeight="1">
      <c r="E153" s="3"/>
    </row>
    <row r="154" ht="15.75" customHeight="1">
      <c r="E154" s="3"/>
    </row>
    <row r="155" ht="15.75" customHeight="1">
      <c r="E155" s="3"/>
    </row>
    <row r="156" ht="15.75" customHeight="1">
      <c r="E156" s="3"/>
    </row>
    <row r="157" ht="15.75" customHeight="1">
      <c r="E157" s="3"/>
    </row>
    <row r="158" ht="15.75" customHeight="1">
      <c r="E158" s="3"/>
    </row>
    <row r="159" ht="15.75" customHeight="1">
      <c r="E159" s="3"/>
    </row>
    <row r="160" ht="15.75" customHeight="1">
      <c r="E160" s="3"/>
    </row>
    <row r="161" ht="15.75" customHeight="1">
      <c r="E161" s="3"/>
    </row>
    <row r="162" ht="15.75" customHeight="1">
      <c r="E162" s="3"/>
    </row>
    <row r="163" ht="15.75" customHeight="1">
      <c r="E163" s="3"/>
    </row>
    <row r="164" ht="15.75" customHeight="1">
      <c r="E164" s="3"/>
    </row>
    <row r="165" ht="15.75" customHeight="1">
      <c r="E165" s="3"/>
    </row>
    <row r="166" ht="15.75" customHeight="1">
      <c r="E166" s="3"/>
    </row>
    <row r="167" ht="15.75" customHeight="1">
      <c r="E167" s="3"/>
    </row>
    <row r="168" ht="15.75" customHeight="1">
      <c r="E168" s="3"/>
    </row>
    <row r="169" ht="15.75" customHeight="1">
      <c r="E169" s="3"/>
    </row>
    <row r="170" ht="15.75" customHeight="1">
      <c r="E170" s="3"/>
    </row>
    <row r="171" ht="15.75" customHeight="1">
      <c r="E171" s="3"/>
    </row>
    <row r="172" ht="15.75" customHeight="1">
      <c r="E172" s="3"/>
    </row>
    <row r="173" ht="15.75" customHeight="1">
      <c r="E173" s="3"/>
    </row>
    <row r="174" ht="15.75" customHeight="1">
      <c r="E174" s="3"/>
    </row>
    <row r="175" ht="15.75" customHeight="1">
      <c r="E175" s="3"/>
    </row>
    <row r="176" ht="15.75" customHeight="1">
      <c r="E176" s="3"/>
    </row>
    <row r="177" ht="15.75" customHeight="1">
      <c r="E177" s="3"/>
    </row>
    <row r="178" ht="15.75" customHeight="1">
      <c r="E178" s="3"/>
    </row>
    <row r="179" ht="15.75" customHeight="1">
      <c r="E179" s="3"/>
    </row>
    <row r="180" ht="15.75" customHeight="1">
      <c r="E180" s="3"/>
    </row>
    <row r="181" ht="15.75" customHeight="1">
      <c r="E181" s="3"/>
    </row>
    <row r="182" ht="15.75" customHeight="1">
      <c r="E182" s="3"/>
    </row>
    <row r="183" ht="15.75" customHeight="1">
      <c r="E183" s="3"/>
    </row>
    <row r="184" ht="15.75" customHeight="1">
      <c r="E184" s="3"/>
    </row>
    <row r="185" ht="15.75" customHeight="1">
      <c r="E185" s="3"/>
    </row>
    <row r="186" ht="15.75" customHeight="1">
      <c r="E186" s="3"/>
    </row>
    <row r="187" ht="15.75" customHeight="1">
      <c r="E187" s="3"/>
    </row>
    <row r="188" ht="15.75" customHeight="1">
      <c r="E188" s="3"/>
    </row>
    <row r="189" ht="15.75" customHeight="1">
      <c r="E189" s="3"/>
    </row>
    <row r="190" ht="15.75" customHeight="1">
      <c r="E190" s="3"/>
    </row>
    <row r="191" ht="15.75" customHeight="1">
      <c r="E191" s="3"/>
    </row>
    <row r="192" ht="15.75" customHeight="1">
      <c r="E192" s="3"/>
    </row>
    <row r="193" ht="15.75" customHeight="1">
      <c r="E193" s="3"/>
    </row>
    <row r="194" ht="15.75" customHeight="1">
      <c r="E194" s="3"/>
    </row>
    <row r="195" ht="15.75" customHeight="1">
      <c r="E195" s="3"/>
    </row>
    <row r="196" ht="15.75" customHeight="1">
      <c r="E196" s="3"/>
    </row>
    <row r="197" ht="15.75" customHeight="1">
      <c r="E197" s="3"/>
    </row>
    <row r="198" ht="15.75" customHeight="1">
      <c r="E198" s="3"/>
    </row>
    <row r="199" ht="15.75" customHeight="1">
      <c r="E199" s="3"/>
    </row>
    <row r="200" ht="15.75" customHeight="1">
      <c r="E200" s="3"/>
    </row>
    <row r="201" ht="15.75" customHeight="1">
      <c r="E201" s="3"/>
    </row>
    <row r="202" ht="15.75" customHeight="1">
      <c r="E202" s="3"/>
    </row>
    <row r="203" ht="15.75" customHeight="1">
      <c r="E203" s="3"/>
    </row>
    <row r="204" ht="15.75" customHeight="1">
      <c r="E204" s="3"/>
    </row>
    <row r="205" ht="15.75" customHeight="1">
      <c r="E205" s="3"/>
    </row>
    <row r="206" ht="15.75" customHeight="1">
      <c r="E206" s="3"/>
    </row>
    <row r="207" ht="15.75" customHeight="1">
      <c r="E207" s="3"/>
    </row>
    <row r="208" ht="15.75" customHeight="1">
      <c r="E208" s="3"/>
    </row>
    <row r="209" ht="15.75" customHeight="1">
      <c r="E209" s="3"/>
    </row>
    <row r="210" ht="15.75" customHeight="1">
      <c r="E210" s="3"/>
    </row>
    <row r="211" ht="15.75" customHeight="1">
      <c r="E211" s="3"/>
    </row>
    <row r="212" ht="15.75" customHeight="1">
      <c r="E212" s="3"/>
    </row>
    <row r="213" ht="15.75" customHeight="1">
      <c r="E213" s="3"/>
    </row>
    <row r="214" ht="15.75" customHeight="1">
      <c r="E214" s="3"/>
    </row>
    <row r="215" ht="15.75" customHeight="1">
      <c r="E215" s="3"/>
    </row>
    <row r="216" ht="15.75" customHeight="1">
      <c r="E216" s="3"/>
    </row>
    <row r="217" ht="15.75" customHeight="1">
      <c r="E217" s="3"/>
    </row>
    <row r="218" ht="15.75" customHeight="1">
      <c r="E218" s="3"/>
    </row>
    <row r="219" ht="15.75" customHeight="1">
      <c r="E219" s="3"/>
    </row>
    <row r="220" ht="15.75" customHeight="1">
      <c r="E220" s="3"/>
    </row>
    <row r="221" ht="15.75" customHeight="1">
      <c r="E221" s="3"/>
    </row>
    <row r="222" ht="15.75" customHeight="1">
      <c r="E222" s="3"/>
    </row>
    <row r="223" ht="15.75" customHeight="1">
      <c r="E223" s="3"/>
    </row>
    <row r="224" ht="15.75" customHeight="1">
      <c r="E224" s="3"/>
    </row>
    <row r="225" ht="15.75" customHeight="1">
      <c r="E225" s="3"/>
    </row>
    <row r="226" ht="15.75" customHeight="1">
      <c r="E226" s="3"/>
    </row>
    <row r="227" ht="15.75" customHeight="1">
      <c r="E227" s="3"/>
    </row>
    <row r="228" ht="15.75" customHeight="1">
      <c r="E228" s="3"/>
    </row>
    <row r="229" ht="15.75" customHeight="1">
      <c r="E229" s="3"/>
    </row>
    <row r="230" ht="15.75" customHeight="1">
      <c r="E230" s="3"/>
    </row>
    <row r="231" ht="15.75" customHeight="1">
      <c r="E231" s="3"/>
    </row>
    <row r="232" ht="15.75" customHeight="1">
      <c r="E232" s="3"/>
    </row>
    <row r="233" ht="15.75" customHeight="1">
      <c r="E233" s="3"/>
    </row>
    <row r="234" ht="15.75" customHeight="1">
      <c r="E234" s="3"/>
    </row>
    <row r="235" ht="15.75" customHeight="1">
      <c r="E235" s="3"/>
    </row>
    <row r="236" ht="15.75" customHeight="1">
      <c r="E236" s="3"/>
    </row>
    <row r="237" ht="15.75" customHeight="1">
      <c r="E237" s="3"/>
    </row>
    <row r="238" ht="15.75" customHeight="1">
      <c r="E238" s="3"/>
    </row>
    <row r="239" ht="15.75" customHeight="1">
      <c r="E239" s="3"/>
    </row>
    <row r="240" ht="15.75" customHeight="1">
      <c r="E240" s="3"/>
    </row>
    <row r="241" ht="15.75" customHeight="1">
      <c r="E241" s="3"/>
    </row>
    <row r="242" ht="15.75" customHeight="1">
      <c r="E242" s="3"/>
    </row>
    <row r="243" ht="15.75" customHeight="1">
      <c r="E243" s="3"/>
    </row>
    <row r="244" ht="15.75" customHeight="1">
      <c r="E244" s="3"/>
    </row>
    <row r="245" ht="15.75" customHeight="1">
      <c r="E245" s="3"/>
    </row>
    <row r="246" ht="15.75" customHeight="1">
      <c r="E246" s="3"/>
    </row>
    <row r="247" ht="15.75" customHeight="1">
      <c r="E247" s="3"/>
    </row>
    <row r="248" ht="15.75" customHeight="1">
      <c r="E248" s="3"/>
    </row>
    <row r="249" ht="15.75" customHeight="1">
      <c r="E249" s="3"/>
    </row>
    <row r="250" ht="15.75" customHeight="1">
      <c r="E250" s="3"/>
    </row>
    <row r="251" ht="15.75" customHeight="1">
      <c r="E251" s="3"/>
    </row>
    <row r="252" ht="15.75" customHeight="1">
      <c r="E252" s="3"/>
    </row>
    <row r="253" ht="15.75" customHeight="1">
      <c r="E253" s="3"/>
    </row>
    <row r="254" ht="15.75" customHeight="1">
      <c r="E254" s="3"/>
    </row>
    <row r="255" ht="15.75" customHeight="1">
      <c r="E255" s="3"/>
    </row>
    <row r="256" ht="15.75" customHeight="1">
      <c r="E256" s="3"/>
    </row>
    <row r="257" ht="15.75" customHeight="1">
      <c r="E257" s="3"/>
    </row>
    <row r="258" ht="15.75" customHeight="1">
      <c r="E258" s="3"/>
    </row>
    <row r="259" ht="15.75" customHeight="1">
      <c r="E259" s="3"/>
    </row>
    <row r="260" ht="15.75" customHeight="1">
      <c r="E260" s="3"/>
    </row>
    <row r="261" ht="15.75" customHeight="1">
      <c r="E261" s="3"/>
    </row>
    <row r="262" ht="15.75" customHeight="1">
      <c r="E262" s="3"/>
    </row>
    <row r="263" ht="15.75" customHeight="1">
      <c r="E263" s="3"/>
    </row>
    <row r="264" ht="15.75" customHeight="1">
      <c r="E264" s="3"/>
    </row>
    <row r="265" ht="15.75" customHeight="1">
      <c r="E265" s="3"/>
    </row>
    <row r="266" ht="15.75" customHeight="1">
      <c r="E266" s="3"/>
    </row>
    <row r="267" ht="15.75" customHeight="1">
      <c r="E267" s="3"/>
    </row>
    <row r="268" ht="15.75" customHeight="1">
      <c r="E268" s="3"/>
    </row>
    <row r="269" ht="15.75" customHeight="1">
      <c r="E269" s="3"/>
    </row>
    <row r="270" ht="15.75" customHeight="1">
      <c r="E270" s="3"/>
    </row>
    <row r="271" ht="15.75" customHeight="1">
      <c r="E271" s="3"/>
    </row>
    <row r="272" ht="15.75" customHeight="1">
      <c r="E272" s="3"/>
    </row>
    <row r="273" ht="15.75" customHeight="1">
      <c r="E273" s="3"/>
    </row>
    <row r="274" ht="15.75" customHeight="1">
      <c r="E274" s="3"/>
    </row>
    <row r="275" ht="15.75" customHeight="1">
      <c r="E275" s="3"/>
    </row>
    <row r="276" ht="15.75" customHeight="1">
      <c r="E276" s="3"/>
    </row>
    <row r="277" ht="15.75" customHeight="1">
      <c r="E277" s="3"/>
    </row>
    <row r="278" ht="15.75" customHeight="1">
      <c r="E278" s="3"/>
    </row>
    <row r="279" ht="15.75" customHeight="1">
      <c r="E279" s="3"/>
    </row>
    <row r="280" ht="15.75" customHeight="1">
      <c r="E280" s="3"/>
    </row>
    <row r="281" ht="15.75" customHeight="1">
      <c r="E281" s="3"/>
    </row>
    <row r="282" ht="15.75" customHeight="1">
      <c r="E282" s="3"/>
    </row>
    <row r="283" ht="15.75" customHeight="1">
      <c r="E283" s="3"/>
    </row>
    <row r="284" ht="15.75" customHeight="1">
      <c r="E284" s="3"/>
    </row>
    <row r="285" ht="15.75" customHeight="1">
      <c r="E285" s="3"/>
    </row>
    <row r="286" ht="15.75" customHeight="1">
      <c r="E286" s="3"/>
    </row>
    <row r="287" ht="15.75" customHeight="1">
      <c r="E287" s="3"/>
    </row>
    <row r="288" ht="15.75" customHeight="1">
      <c r="E288" s="3"/>
    </row>
    <row r="289" ht="15.75" customHeight="1">
      <c r="E289" s="3"/>
    </row>
    <row r="290" ht="15.75" customHeight="1">
      <c r="E290" s="3"/>
    </row>
    <row r="291" ht="15.75" customHeight="1">
      <c r="E291" s="3"/>
    </row>
    <row r="292" ht="15.75" customHeight="1">
      <c r="E292" s="3"/>
    </row>
    <row r="293" ht="15.75" customHeight="1">
      <c r="E293" s="3"/>
    </row>
    <row r="294" ht="15.75" customHeight="1">
      <c r="E294" s="3"/>
    </row>
    <row r="295" ht="15.75" customHeight="1">
      <c r="E295" s="3"/>
    </row>
    <row r="296" ht="15.75" customHeight="1">
      <c r="E296" s="3"/>
    </row>
    <row r="297" ht="15.75" customHeight="1">
      <c r="E297" s="3"/>
    </row>
    <row r="298" ht="15.75" customHeight="1">
      <c r="E298" s="3"/>
    </row>
    <row r="299" ht="15.75" customHeight="1">
      <c r="E299" s="3"/>
    </row>
    <row r="300" ht="15.75" customHeight="1">
      <c r="E300" s="3"/>
    </row>
    <row r="301" ht="15.75" customHeight="1">
      <c r="E301" s="3"/>
    </row>
    <row r="302" ht="15.75" customHeight="1">
      <c r="E302" s="3"/>
    </row>
    <row r="303" ht="15.75" customHeight="1">
      <c r="E303" s="3"/>
    </row>
    <row r="304" ht="15.75" customHeight="1">
      <c r="E304" s="3"/>
    </row>
    <row r="305" ht="15.75" customHeight="1">
      <c r="E305" s="3"/>
    </row>
    <row r="306" ht="15.75" customHeight="1">
      <c r="E306" s="3"/>
    </row>
    <row r="307" ht="15.75" customHeight="1">
      <c r="E307" s="3"/>
    </row>
    <row r="308" ht="15.75" customHeight="1">
      <c r="E308" s="3"/>
    </row>
    <row r="309" ht="15.75" customHeight="1">
      <c r="E309" s="3"/>
    </row>
    <row r="310" ht="15.75" customHeight="1">
      <c r="E310" s="3"/>
    </row>
    <row r="311" ht="15.75" customHeight="1">
      <c r="E311" s="3"/>
    </row>
    <row r="312" ht="15.75" customHeight="1">
      <c r="E312" s="3"/>
    </row>
    <row r="313" ht="15.75" customHeight="1">
      <c r="E313" s="3"/>
    </row>
    <row r="314" ht="15.75" customHeight="1">
      <c r="E314" s="3"/>
    </row>
    <row r="315" ht="15.75" customHeight="1">
      <c r="E315" s="3"/>
    </row>
    <row r="316" ht="15.75" customHeight="1">
      <c r="E316" s="3"/>
    </row>
    <row r="317" ht="15.75" customHeight="1">
      <c r="E317" s="3"/>
    </row>
    <row r="318" ht="15.75" customHeight="1">
      <c r="E318" s="3"/>
    </row>
    <row r="319" ht="15.75" customHeight="1">
      <c r="E319" s="3"/>
    </row>
    <row r="320" ht="15.75" customHeight="1">
      <c r="E320" s="3"/>
    </row>
    <row r="321" ht="15.75" customHeight="1">
      <c r="E321" s="3"/>
    </row>
    <row r="322" ht="15.75" customHeight="1">
      <c r="E322" s="3"/>
    </row>
    <row r="323" ht="15.75" customHeight="1">
      <c r="E323" s="3"/>
    </row>
    <row r="324" ht="15.75" customHeight="1">
      <c r="E324" s="3"/>
    </row>
    <row r="325" ht="15.75" customHeight="1">
      <c r="E325" s="3"/>
    </row>
    <row r="326" ht="15.75" customHeight="1">
      <c r="E326" s="3"/>
    </row>
    <row r="327" ht="15.75" customHeight="1">
      <c r="E327" s="3"/>
    </row>
    <row r="328" ht="15.75" customHeight="1">
      <c r="E328" s="3"/>
    </row>
    <row r="329" ht="15.75" customHeight="1">
      <c r="E329" s="3"/>
    </row>
    <row r="330" ht="15.75" customHeight="1">
      <c r="E330" s="3"/>
    </row>
    <row r="331" ht="15.75" customHeight="1">
      <c r="E331" s="3"/>
    </row>
    <row r="332" ht="15.75" customHeight="1">
      <c r="E332" s="3"/>
    </row>
    <row r="333" ht="15.75" customHeight="1">
      <c r="E333" s="3"/>
    </row>
    <row r="334" ht="15.75" customHeight="1">
      <c r="E334" s="3"/>
    </row>
    <row r="335" ht="15.75" customHeight="1">
      <c r="E335" s="3"/>
    </row>
    <row r="336" ht="15.75" customHeight="1">
      <c r="E336" s="3"/>
    </row>
    <row r="337" ht="15.75" customHeight="1">
      <c r="E337" s="3"/>
    </row>
    <row r="338" ht="15.75" customHeight="1">
      <c r="E338" s="3"/>
    </row>
    <row r="339" ht="15.75" customHeight="1">
      <c r="E339" s="3"/>
    </row>
    <row r="340" ht="15.75" customHeight="1">
      <c r="E340" s="3"/>
    </row>
    <row r="341" ht="15.75" customHeight="1">
      <c r="E341" s="3"/>
    </row>
    <row r="342" ht="15.75" customHeight="1">
      <c r="E342" s="3"/>
    </row>
    <row r="343" ht="15.75" customHeight="1">
      <c r="E343" s="3"/>
    </row>
    <row r="344" ht="15.75" customHeight="1">
      <c r="E344" s="3"/>
    </row>
    <row r="345" ht="15.75" customHeight="1">
      <c r="E345" s="3"/>
    </row>
    <row r="346" ht="15.75" customHeight="1">
      <c r="E346" s="3"/>
    </row>
    <row r="347" ht="15.75" customHeight="1">
      <c r="E347" s="3"/>
    </row>
    <row r="348" ht="15.75" customHeight="1">
      <c r="E348" s="3"/>
    </row>
    <row r="349" ht="15.75" customHeight="1">
      <c r="E349" s="3"/>
    </row>
    <row r="350" ht="15.75" customHeight="1">
      <c r="E350" s="3"/>
    </row>
    <row r="351" ht="15.75" customHeight="1">
      <c r="E351" s="3"/>
    </row>
    <row r="352" ht="15.75" customHeight="1">
      <c r="E352" s="3"/>
    </row>
    <row r="353" ht="15.75" customHeight="1">
      <c r="E353" s="3"/>
    </row>
    <row r="354" ht="15.75" customHeight="1">
      <c r="E354" s="3"/>
    </row>
    <row r="355" ht="15.75" customHeight="1">
      <c r="E355" s="3"/>
    </row>
    <row r="356" ht="15.75" customHeight="1">
      <c r="E356" s="3"/>
    </row>
    <row r="357" ht="15.75" customHeight="1">
      <c r="E357" s="3"/>
    </row>
    <row r="358" ht="15.75" customHeight="1">
      <c r="E358" s="3"/>
    </row>
    <row r="359" ht="15.75" customHeight="1">
      <c r="E359" s="3"/>
    </row>
    <row r="360" ht="15.75" customHeight="1">
      <c r="E360" s="3"/>
    </row>
    <row r="361" ht="15.75" customHeight="1">
      <c r="E361" s="3"/>
    </row>
    <row r="362" ht="15.75" customHeight="1">
      <c r="E362" s="3"/>
    </row>
    <row r="363" ht="15.75" customHeight="1">
      <c r="E363" s="3"/>
    </row>
    <row r="364" ht="15.75" customHeight="1">
      <c r="E364" s="3"/>
    </row>
    <row r="365" ht="15.75" customHeight="1">
      <c r="E365" s="3"/>
    </row>
    <row r="366" ht="15.75" customHeight="1">
      <c r="E366" s="3"/>
    </row>
    <row r="367" ht="15.75" customHeight="1">
      <c r="E367" s="3"/>
    </row>
    <row r="368" ht="15.75" customHeight="1">
      <c r="E368" s="3"/>
    </row>
    <row r="369" ht="15.75" customHeight="1">
      <c r="E369" s="3"/>
    </row>
    <row r="370" ht="15.75" customHeight="1">
      <c r="E370" s="3"/>
    </row>
    <row r="371" ht="15.75" customHeight="1">
      <c r="E371" s="3"/>
    </row>
    <row r="372" ht="15.75" customHeight="1">
      <c r="E372" s="3"/>
    </row>
    <row r="373" ht="15.75" customHeight="1">
      <c r="E373" s="3"/>
    </row>
    <row r="374" ht="15.75" customHeight="1">
      <c r="E374" s="3"/>
    </row>
    <row r="375" ht="15.75" customHeight="1">
      <c r="E375" s="3"/>
    </row>
    <row r="376" ht="15.75" customHeight="1">
      <c r="E376" s="3"/>
    </row>
    <row r="377" ht="15.75" customHeight="1">
      <c r="E377" s="3"/>
    </row>
    <row r="378" ht="15.75" customHeight="1">
      <c r="E378" s="3"/>
    </row>
    <row r="379" ht="15.75" customHeight="1">
      <c r="E379" s="3"/>
    </row>
    <row r="380" ht="15.75" customHeight="1">
      <c r="E380" s="3"/>
    </row>
    <row r="381" ht="15.75" customHeight="1">
      <c r="E381" s="3"/>
    </row>
    <row r="382" ht="15.75" customHeight="1">
      <c r="E382" s="3"/>
    </row>
    <row r="383" ht="15.75" customHeight="1">
      <c r="E383" s="3"/>
    </row>
    <row r="384" ht="15.75" customHeight="1">
      <c r="E384" s="3"/>
    </row>
    <row r="385" ht="15.75" customHeight="1">
      <c r="E385" s="3"/>
    </row>
    <row r="386" ht="15.75" customHeight="1">
      <c r="E386" s="3"/>
    </row>
    <row r="387" ht="15.75" customHeight="1">
      <c r="E387" s="3"/>
    </row>
    <row r="388" ht="15.75" customHeight="1">
      <c r="E388" s="3"/>
    </row>
    <row r="389" ht="15.75" customHeight="1">
      <c r="E389" s="3"/>
    </row>
    <row r="390" ht="15.75" customHeight="1">
      <c r="E390" s="3"/>
    </row>
    <row r="391" ht="15.75" customHeight="1">
      <c r="E391" s="3"/>
    </row>
    <row r="392" ht="15.75" customHeight="1">
      <c r="E392" s="3"/>
    </row>
    <row r="393" ht="15.75" customHeight="1">
      <c r="E393" s="3"/>
    </row>
    <row r="394" ht="15.75" customHeight="1">
      <c r="E394" s="3"/>
    </row>
    <row r="395" ht="15.75" customHeight="1">
      <c r="E395" s="3"/>
    </row>
    <row r="396" ht="15.75" customHeight="1">
      <c r="E396" s="3"/>
    </row>
    <row r="397" ht="15.75" customHeight="1">
      <c r="E397" s="3"/>
    </row>
    <row r="398" ht="15.75" customHeight="1">
      <c r="E398" s="3"/>
    </row>
    <row r="399" ht="15.75" customHeight="1">
      <c r="E399" s="3"/>
    </row>
    <row r="400" ht="15.75" customHeight="1">
      <c r="E400" s="3"/>
    </row>
    <row r="401" ht="15.75" customHeight="1">
      <c r="E401" s="3"/>
    </row>
    <row r="402" ht="15.75" customHeight="1">
      <c r="E402" s="3"/>
    </row>
    <row r="403" ht="15.75" customHeight="1">
      <c r="E403" s="3"/>
    </row>
    <row r="404" ht="15.75" customHeight="1">
      <c r="E404" s="3"/>
    </row>
    <row r="405" ht="15.75" customHeight="1">
      <c r="E405" s="3"/>
    </row>
    <row r="406" ht="15.75" customHeight="1">
      <c r="E406" s="3"/>
    </row>
    <row r="407" ht="15.75" customHeight="1">
      <c r="E407" s="3"/>
    </row>
    <row r="408" ht="15.75" customHeight="1">
      <c r="E408" s="3"/>
    </row>
    <row r="409" ht="15.75" customHeight="1">
      <c r="E409" s="3"/>
    </row>
    <row r="410" ht="15.75" customHeight="1">
      <c r="E410" s="3"/>
    </row>
    <row r="411" ht="15.75" customHeight="1">
      <c r="E411" s="3"/>
    </row>
    <row r="412" ht="15.75" customHeight="1">
      <c r="E412" s="3"/>
    </row>
    <row r="413" ht="15.75" customHeight="1">
      <c r="E413" s="3"/>
    </row>
    <row r="414" ht="15.75" customHeight="1">
      <c r="E414" s="3"/>
    </row>
    <row r="415" ht="15.75" customHeight="1">
      <c r="E415" s="3"/>
    </row>
    <row r="416" ht="15.75" customHeight="1">
      <c r="E416" s="3"/>
    </row>
    <row r="417" ht="15.75" customHeight="1">
      <c r="E417" s="3"/>
    </row>
    <row r="418" ht="15.75" customHeight="1">
      <c r="E418" s="3"/>
    </row>
    <row r="419" ht="15.75" customHeight="1">
      <c r="E419" s="3"/>
    </row>
    <row r="420" ht="15.75" customHeight="1">
      <c r="E420" s="3"/>
    </row>
    <row r="421" ht="15.75" customHeight="1">
      <c r="E421" s="3"/>
    </row>
    <row r="422" ht="15.75" customHeight="1">
      <c r="E422" s="3"/>
    </row>
    <row r="423" ht="15.75" customHeight="1">
      <c r="E423" s="3"/>
    </row>
    <row r="424" ht="15.75" customHeight="1">
      <c r="E424" s="3"/>
    </row>
    <row r="425" ht="15.75" customHeight="1">
      <c r="E425" s="3"/>
    </row>
    <row r="426" ht="15.75" customHeight="1">
      <c r="E426" s="3"/>
    </row>
    <row r="427" ht="15.75" customHeight="1">
      <c r="E427" s="3"/>
    </row>
    <row r="428" ht="15.75" customHeight="1">
      <c r="E428" s="3"/>
    </row>
    <row r="429" ht="15.75" customHeight="1">
      <c r="E429" s="3"/>
    </row>
    <row r="430" ht="15.75" customHeight="1">
      <c r="E430" s="3"/>
    </row>
    <row r="431" ht="15.75" customHeight="1">
      <c r="E431" s="3"/>
    </row>
    <row r="432" ht="15.75" customHeight="1">
      <c r="E432" s="3"/>
    </row>
    <row r="433" ht="15.75" customHeight="1">
      <c r="E433" s="3"/>
    </row>
    <row r="434" ht="15.75" customHeight="1">
      <c r="E434" s="3"/>
    </row>
    <row r="435" ht="15.75" customHeight="1">
      <c r="E435" s="3"/>
    </row>
    <row r="436" ht="15.75" customHeight="1">
      <c r="E436" s="3"/>
    </row>
    <row r="437" ht="15.75" customHeight="1">
      <c r="E437" s="3"/>
    </row>
    <row r="438" ht="15.75" customHeight="1">
      <c r="E438" s="3"/>
    </row>
    <row r="439" ht="15.75" customHeight="1">
      <c r="E439" s="3"/>
    </row>
    <row r="440" ht="15.75" customHeight="1">
      <c r="E440" s="3"/>
    </row>
    <row r="441" ht="15.75" customHeight="1">
      <c r="E441" s="3"/>
    </row>
    <row r="442" ht="15.75" customHeight="1">
      <c r="E442" s="3"/>
    </row>
    <row r="443" ht="15.75" customHeight="1">
      <c r="E443" s="3"/>
    </row>
    <row r="444" ht="15.75" customHeight="1">
      <c r="E444" s="3"/>
    </row>
    <row r="445" ht="15.75" customHeight="1">
      <c r="E445" s="3"/>
    </row>
    <row r="446" ht="15.75" customHeight="1">
      <c r="E446" s="3"/>
    </row>
    <row r="447" ht="15.75" customHeight="1">
      <c r="E447" s="3"/>
    </row>
    <row r="448" ht="15.75" customHeight="1">
      <c r="E448" s="3"/>
    </row>
    <row r="449" ht="15.75" customHeight="1">
      <c r="E449" s="3"/>
    </row>
    <row r="450" ht="15.75" customHeight="1">
      <c r="E450" s="3"/>
    </row>
    <row r="451" ht="15.75" customHeight="1">
      <c r="E451" s="3"/>
    </row>
    <row r="452" ht="15.75" customHeight="1">
      <c r="E452" s="3"/>
    </row>
    <row r="453" ht="15.75" customHeight="1">
      <c r="E453" s="3"/>
    </row>
    <row r="454" ht="15.75" customHeight="1">
      <c r="E454" s="3"/>
    </row>
    <row r="455" ht="15.75" customHeight="1">
      <c r="E455" s="3"/>
    </row>
    <row r="456" ht="15.75" customHeight="1">
      <c r="E456" s="3"/>
    </row>
    <row r="457" ht="15.75" customHeight="1">
      <c r="E457" s="3"/>
    </row>
    <row r="458" ht="15.75" customHeight="1">
      <c r="E458" s="3"/>
    </row>
    <row r="459" ht="15.75" customHeight="1">
      <c r="E459" s="3"/>
    </row>
    <row r="460" ht="15.75" customHeight="1">
      <c r="E460" s="3"/>
    </row>
    <row r="461" ht="15.75" customHeight="1">
      <c r="E461" s="3"/>
    </row>
    <row r="462" ht="15.75" customHeight="1">
      <c r="E462" s="3"/>
    </row>
    <row r="463" ht="15.75" customHeight="1">
      <c r="E463" s="3"/>
    </row>
    <row r="464" ht="15.75" customHeight="1">
      <c r="E464" s="3"/>
    </row>
    <row r="465" ht="15.75" customHeight="1">
      <c r="E465" s="3"/>
    </row>
    <row r="466" ht="15.75" customHeight="1">
      <c r="E466" s="3"/>
    </row>
    <row r="467" ht="15.75" customHeight="1">
      <c r="E467" s="3"/>
    </row>
    <row r="468" ht="15.75" customHeight="1">
      <c r="E468" s="3"/>
    </row>
    <row r="469" ht="15.75" customHeight="1">
      <c r="E469" s="3"/>
    </row>
    <row r="470" ht="15.75" customHeight="1">
      <c r="E470" s="3"/>
    </row>
    <row r="471" ht="15.75" customHeight="1">
      <c r="E471" s="3"/>
    </row>
    <row r="472" ht="15.75" customHeight="1">
      <c r="E472" s="3"/>
    </row>
    <row r="473" ht="15.75" customHeight="1">
      <c r="E473" s="3"/>
    </row>
    <row r="474" ht="15.75" customHeight="1">
      <c r="E474" s="3"/>
    </row>
    <row r="475" ht="15.75" customHeight="1">
      <c r="E475" s="3"/>
    </row>
    <row r="476" ht="15.75" customHeight="1">
      <c r="E476" s="3"/>
    </row>
    <row r="477" ht="15.75" customHeight="1">
      <c r="E477" s="3"/>
    </row>
    <row r="478" ht="15.75" customHeight="1">
      <c r="E478" s="3"/>
    </row>
    <row r="479" ht="15.75" customHeight="1">
      <c r="E479" s="3"/>
    </row>
    <row r="480" ht="15.75" customHeight="1">
      <c r="E480" s="3"/>
    </row>
    <row r="481" ht="15.75" customHeight="1">
      <c r="E481" s="3"/>
    </row>
    <row r="482" ht="15.75" customHeight="1">
      <c r="E482" s="3"/>
    </row>
    <row r="483" ht="15.75" customHeight="1">
      <c r="E483" s="3"/>
    </row>
    <row r="484" ht="15.75" customHeight="1">
      <c r="E484" s="3"/>
    </row>
    <row r="485" ht="15.75" customHeight="1">
      <c r="E485" s="3"/>
    </row>
    <row r="486" ht="15.75" customHeight="1">
      <c r="E486" s="3"/>
    </row>
    <row r="487" ht="15.75" customHeight="1">
      <c r="E487" s="3"/>
    </row>
    <row r="488" ht="15.75" customHeight="1">
      <c r="E488" s="3"/>
    </row>
    <row r="489" ht="15.75" customHeight="1">
      <c r="E489" s="3"/>
    </row>
    <row r="490" ht="15.75" customHeight="1">
      <c r="E490" s="3"/>
    </row>
    <row r="491" ht="15.75" customHeight="1">
      <c r="E491" s="3"/>
    </row>
    <row r="492" ht="15.75" customHeight="1">
      <c r="E492" s="3"/>
    </row>
    <row r="493" ht="15.75" customHeight="1">
      <c r="E493" s="3"/>
    </row>
    <row r="494" ht="15.75" customHeight="1">
      <c r="E494" s="3"/>
    </row>
    <row r="495" ht="15.75" customHeight="1">
      <c r="E495" s="3"/>
    </row>
    <row r="496" ht="15.75" customHeight="1">
      <c r="E496" s="3"/>
    </row>
    <row r="497" ht="15.75" customHeight="1">
      <c r="E497" s="3"/>
    </row>
    <row r="498" ht="15.75" customHeight="1">
      <c r="E498" s="3"/>
    </row>
    <row r="499" ht="15.75" customHeight="1">
      <c r="E499" s="3"/>
    </row>
    <row r="500" ht="15.75" customHeight="1">
      <c r="E500" s="3"/>
    </row>
    <row r="501" ht="15.75" customHeight="1">
      <c r="E501" s="3"/>
    </row>
    <row r="502" ht="15.75" customHeight="1">
      <c r="E502" s="3"/>
    </row>
    <row r="503" ht="15.75" customHeight="1">
      <c r="E503" s="3"/>
    </row>
    <row r="504" ht="15.75" customHeight="1">
      <c r="E504" s="3"/>
    </row>
    <row r="505" ht="15.75" customHeight="1">
      <c r="E505" s="3"/>
    </row>
    <row r="506" ht="15.75" customHeight="1">
      <c r="E506" s="3"/>
    </row>
    <row r="507" ht="15.75" customHeight="1">
      <c r="E507" s="3"/>
    </row>
    <row r="508" ht="15.75" customHeight="1">
      <c r="E508" s="3"/>
    </row>
    <row r="509" ht="15.75" customHeight="1">
      <c r="E509" s="3"/>
    </row>
    <row r="510" ht="15.75" customHeight="1">
      <c r="E510" s="3"/>
    </row>
    <row r="511" ht="15.75" customHeight="1">
      <c r="E511" s="3"/>
    </row>
    <row r="512" ht="15.75" customHeight="1">
      <c r="E512" s="3"/>
    </row>
    <row r="513" ht="15.75" customHeight="1">
      <c r="E513" s="3"/>
    </row>
    <row r="514" ht="15.75" customHeight="1">
      <c r="E514" s="3"/>
    </row>
    <row r="515" ht="15.75" customHeight="1">
      <c r="E515" s="3"/>
    </row>
    <row r="516" ht="15.75" customHeight="1">
      <c r="E516" s="3"/>
    </row>
    <row r="517" ht="15.75" customHeight="1">
      <c r="E517" s="3"/>
    </row>
    <row r="518" ht="15.75" customHeight="1">
      <c r="E518" s="3"/>
    </row>
    <row r="519" ht="15.75" customHeight="1">
      <c r="E519" s="3"/>
    </row>
    <row r="520" ht="15.75" customHeight="1">
      <c r="E520" s="3"/>
    </row>
    <row r="521" ht="15.75" customHeight="1">
      <c r="E521" s="3"/>
    </row>
    <row r="522" ht="15.75" customHeight="1">
      <c r="E522" s="3"/>
    </row>
    <row r="523" ht="15.75" customHeight="1">
      <c r="E523" s="3"/>
    </row>
    <row r="524" ht="15.75" customHeight="1">
      <c r="E524" s="3"/>
    </row>
    <row r="525" ht="15.75" customHeight="1">
      <c r="E525" s="3"/>
    </row>
    <row r="526" ht="15.75" customHeight="1">
      <c r="E526" s="3"/>
    </row>
    <row r="527" ht="15.75" customHeight="1">
      <c r="E527" s="3"/>
    </row>
    <row r="528" ht="15.75" customHeight="1">
      <c r="E528" s="3"/>
    </row>
    <row r="529" ht="15.75" customHeight="1">
      <c r="E529" s="3"/>
    </row>
    <row r="530" ht="15.75" customHeight="1">
      <c r="E530" s="3"/>
    </row>
    <row r="531" ht="15.75" customHeight="1">
      <c r="E531" s="3"/>
    </row>
    <row r="532" ht="15.75" customHeight="1">
      <c r="E532" s="3"/>
    </row>
    <row r="533" ht="15.75" customHeight="1">
      <c r="E533" s="3"/>
    </row>
    <row r="534" ht="15.75" customHeight="1">
      <c r="E534" s="3"/>
    </row>
    <row r="535" ht="15.75" customHeight="1">
      <c r="E535" s="3"/>
    </row>
    <row r="536" ht="15.75" customHeight="1">
      <c r="E536" s="3"/>
    </row>
    <row r="537" ht="15.75" customHeight="1">
      <c r="E537" s="3"/>
    </row>
    <row r="538" ht="15.75" customHeight="1">
      <c r="E538" s="3"/>
    </row>
    <row r="539" ht="15.75" customHeight="1">
      <c r="E539" s="3"/>
    </row>
    <row r="540" ht="15.75" customHeight="1">
      <c r="E540" s="3"/>
    </row>
    <row r="541" ht="15.75" customHeight="1">
      <c r="E541" s="3"/>
    </row>
    <row r="542" ht="15.75" customHeight="1">
      <c r="E542" s="3"/>
    </row>
    <row r="543" ht="15.75" customHeight="1">
      <c r="E543" s="3"/>
    </row>
    <row r="544" ht="15.75" customHeight="1">
      <c r="E544" s="3"/>
    </row>
    <row r="545" ht="15.75" customHeight="1">
      <c r="E545" s="3"/>
    </row>
    <row r="546" ht="15.75" customHeight="1">
      <c r="E546" s="3"/>
    </row>
    <row r="547" ht="15.75" customHeight="1">
      <c r="E547" s="3"/>
    </row>
    <row r="548" ht="15.75" customHeight="1">
      <c r="E548" s="3"/>
    </row>
    <row r="549" ht="15.75" customHeight="1">
      <c r="E549" s="3"/>
    </row>
    <row r="550" ht="15.75" customHeight="1">
      <c r="E550" s="3"/>
    </row>
    <row r="551" ht="15.75" customHeight="1">
      <c r="E551" s="3"/>
    </row>
    <row r="552" ht="15.75" customHeight="1">
      <c r="E552" s="3"/>
    </row>
    <row r="553" ht="15.75" customHeight="1">
      <c r="E553" s="3"/>
    </row>
    <row r="554" ht="15.75" customHeight="1">
      <c r="E554" s="3"/>
    </row>
    <row r="555" ht="15.75" customHeight="1">
      <c r="E555" s="3"/>
    </row>
    <row r="556" ht="15.75" customHeight="1">
      <c r="E556" s="3"/>
    </row>
    <row r="557" ht="15.75" customHeight="1">
      <c r="E557" s="3"/>
    </row>
    <row r="558" ht="15.75" customHeight="1">
      <c r="E558" s="3"/>
    </row>
    <row r="559" ht="15.75" customHeight="1">
      <c r="E559" s="3"/>
    </row>
    <row r="560" ht="15.75" customHeight="1">
      <c r="E560" s="3"/>
    </row>
    <row r="561" ht="15.75" customHeight="1">
      <c r="E561" s="3"/>
    </row>
    <row r="562" ht="15.75" customHeight="1">
      <c r="E562" s="3"/>
    </row>
    <row r="563" ht="15.75" customHeight="1">
      <c r="E563" s="3"/>
    </row>
    <row r="564" ht="15.75" customHeight="1">
      <c r="E564" s="3"/>
    </row>
    <row r="565" ht="15.75" customHeight="1">
      <c r="E565" s="3"/>
    </row>
    <row r="566" ht="15.75" customHeight="1">
      <c r="E566" s="3"/>
    </row>
    <row r="567" ht="15.75" customHeight="1">
      <c r="E567" s="3"/>
    </row>
    <row r="568" ht="15.75" customHeight="1">
      <c r="E568" s="3"/>
    </row>
    <row r="569" ht="15.75" customHeight="1">
      <c r="E569" s="3"/>
    </row>
    <row r="570" ht="15.75" customHeight="1">
      <c r="E570" s="3"/>
    </row>
    <row r="571" ht="15.75" customHeight="1">
      <c r="E571" s="3"/>
    </row>
    <row r="572" ht="15.75" customHeight="1">
      <c r="E572" s="3"/>
    </row>
    <row r="573" ht="15.75" customHeight="1">
      <c r="E573" s="3"/>
    </row>
    <row r="574" ht="15.75" customHeight="1">
      <c r="E574" s="3"/>
    </row>
    <row r="575" ht="15.75" customHeight="1">
      <c r="E575" s="3"/>
    </row>
    <row r="576" ht="15.75" customHeight="1">
      <c r="E576" s="3"/>
    </row>
    <row r="577" ht="15.75" customHeight="1">
      <c r="E577" s="3"/>
    </row>
    <row r="578" ht="15.75" customHeight="1">
      <c r="E578" s="3"/>
    </row>
    <row r="579" ht="15.75" customHeight="1">
      <c r="E579" s="3"/>
    </row>
    <row r="580" ht="15.75" customHeight="1">
      <c r="E580" s="3"/>
    </row>
    <row r="581" ht="15.75" customHeight="1">
      <c r="E581" s="3"/>
    </row>
    <row r="582" ht="15.75" customHeight="1">
      <c r="E582" s="3"/>
    </row>
    <row r="583" ht="15.75" customHeight="1">
      <c r="E583" s="3"/>
    </row>
    <row r="584" ht="15.75" customHeight="1">
      <c r="E584" s="3"/>
    </row>
    <row r="585" ht="15.75" customHeight="1">
      <c r="E585" s="3"/>
    </row>
    <row r="586" ht="15.75" customHeight="1">
      <c r="E586" s="3"/>
    </row>
    <row r="587" ht="15.75" customHeight="1">
      <c r="E587" s="3"/>
    </row>
    <row r="588" ht="15.75" customHeight="1">
      <c r="E588" s="3"/>
    </row>
    <row r="589" ht="15.75" customHeight="1">
      <c r="E589" s="3"/>
    </row>
    <row r="590" ht="15.75" customHeight="1">
      <c r="E590" s="3"/>
    </row>
    <row r="591" ht="15.75" customHeight="1">
      <c r="E591" s="3"/>
    </row>
    <row r="592" ht="15.75" customHeight="1">
      <c r="E592" s="3"/>
    </row>
    <row r="593" ht="15.75" customHeight="1">
      <c r="E593" s="3"/>
    </row>
    <row r="594" ht="15.75" customHeight="1">
      <c r="E594" s="3"/>
    </row>
    <row r="595" ht="15.75" customHeight="1">
      <c r="E595" s="3"/>
    </row>
    <row r="596" ht="15.75" customHeight="1">
      <c r="E596" s="3"/>
    </row>
    <row r="597" ht="15.75" customHeight="1">
      <c r="E597" s="3"/>
    </row>
    <row r="598" ht="15.75" customHeight="1">
      <c r="E598" s="3"/>
    </row>
    <row r="599" ht="15.75" customHeight="1">
      <c r="E599" s="3"/>
    </row>
    <row r="600" ht="15.75" customHeight="1">
      <c r="E600" s="3"/>
    </row>
    <row r="601" ht="15.75" customHeight="1">
      <c r="E601" s="3"/>
    </row>
    <row r="602" ht="15.75" customHeight="1">
      <c r="E602" s="3"/>
    </row>
    <row r="603" ht="15.75" customHeight="1">
      <c r="E603" s="3"/>
    </row>
    <row r="604" ht="15.75" customHeight="1">
      <c r="E604" s="3"/>
    </row>
    <row r="605" ht="15.75" customHeight="1">
      <c r="E605" s="3"/>
    </row>
    <row r="606" ht="15.75" customHeight="1">
      <c r="E606" s="3"/>
    </row>
    <row r="607" ht="15.75" customHeight="1">
      <c r="E607" s="3"/>
    </row>
    <row r="608" ht="15.75" customHeight="1">
      <c r="E608" s="3"/>
    </row>
    <row r="609" ht="15.75" customHeight="1">
      <c r="E609" s="3"/>
    </row>
    <row r="610" ht="15.75" customHeight="1">
      <c r="E610" s="3"/>
    </row>
    <row r="611" ht="15.75" customHeight="1">
      <c r="E611" s="3"/>
    </row>
    <row r="612" ht="15.75" customHeight="1">
      <c r="E612" s="3"/>
    </row>
    <row r="613" ht="15.75" customHeight="1">
      <c r="E613" s="3"/>
    </row>
    <row r="614" ht="15.75" customHeight="1">
      <c r="E614" s="3"/>
    </row>
    <row r="615" ht="15.75" customHeight="1">
      <c r="E615" s="3"/>
    </row>
    <row r="616" ht="15.75" customHeight="1">
      <c r="E616" s="3"/>
    </row>
    <row r="617" ht="15.75" customHeight="1">
      <c r="E617" s="3"/>
    </row>
    <row r="618" ht="15.75" customHeight="1">
      <c r="E618" s="3"/>
    </row>
    <row r="619" ht="15.75" customHeight="1">
      <c r="E619" s="3"/>
    </row>
    <row r="620" ht="15.75" customHeight="1">
      <c r="E620" s="3"/>
    </row>
    <row r="621" ht="15.75" customHeight="1">
      <c r="E621" s="3"/>
    </row>
    <row r="622" ht="15.75" customHeight="1">
      <c r="E622" s="3"/>
    </row>
    <row r="623" ht="15.75" customHeight="1">
      <c r="E623" s="3"/>
    </row>
    <row r="624" ht="15.75" customHeight="1">
      <c r="E624" s="3"/>
    </row>
    <row r="625" ht="15.75" customHeight="1">
      <c r="E625" s="3"/>
    </row>
    <row r="626" ht="15.75" customHeight="1">
      <c r="E626" s="3"/>
    </row>
    <row r="627" ht="15.75" customHeight="1">
      <c r="E627" s="3"/>
    </row>
    <row r="628" ht="15.75" customHeight="1">
      <c r="E628" s="3"/>
    </row>
    <row r="629" ht="15.75" customHeight="1">
      <c r="E629" s="3"/>
    </row>
    <row r="630" ht="15.75" customHeight="1">
      <c r="E630" s="3"/>
    </row>
    <row r="631" ht="15.75" customHeight="1">
      <c r="E631" s="3"/>
    </row>
    <row r="632" ht="15.75" customHeight="1">
      <c r="E632" s="3"/>
    </row>
    <row r="633" ht="15.75" customHeight="1">
      <c r="E633" s="3"/>
    </row>
    <row r="634" ht="15.75" customHeight="1">
      <c r="E634" s="3"/>
    </row>
    <row r="635" ht="15.75" customHeight="1">
      <c r="E635" s="3"/>
    </row>
    <row r="636" ht="15.75" customHeight="1">
      <c r="E636" s="3"/>
    </row>
    <row r="637" ht="15.75" customHeight="1">
      <c r="E637" s="3"/>
    </row>
    <row r="638" ht="15.75" customHeight="1">
      <c r="E638" s="3"/>
    </row>
    <row r="639" ht="15.75" customHeight="1">
      <c r="E639" s="3"/>
    </row>
    <row r="640" ht="15.75" customHeight="1">
      <c r="E640" s="3"/>
    </row>
    <row r="641" ht="15.75" customHeight="1">
      <c r="E641" s="3"/>
    </row>
    <row r="642" ht="15.75" customHeight="1">
      <c r="E642" s="3"/>
    </row>
    <row r="643" ht="15.75" customHeight="1">
      <c r="E643" s="3"/>
    </row>
    <row r="644" ht="15.75" customHeight="1">
      <c r="E644" s="3"/>
    </row>
    <row r="645" ht="15.75" customHeight="1">
      <c r="E645" s="3"/>
    </row>
    <row r="646" ht="15.75" customHeight="1">
      <c r="E646" s="3"/>
    </row>
    <row r="647" ht="15.75" customHeight="1">
      <c r="E647" s="3"/>
    </row>
    <row r="648" ht="15.75" customHeight="1">
      <c r="E648" s="3"/>
    </row>
    <row r="649" ht="15.75" customHeight="1">
      <c r="E649" s="3"/>
    </row>
    <row r="650" ht="15.75" customHeight="1">
      <c r="E650" s="3"/>
    </row>
    <row r="651" ht="15.75" customHeight="1">
      <c r="E651" s="3"/>
    </row>
    <row r="652" ht="15.75" customHeight="1">
      <c r="E652" s="3"/>
    </row>
    <row r="653" ht="15.75" customHeight="1">
      <c r="E653" s="3"/>
    </row>
    <row r="654" ht="15.75" customHeight="1">
      <c r="E654" s="3"/>
    </row>
    <row r="655" ht="15.75" customHeight="1">
      <c r="E655" s="3"/>
    </row>
    <row r="656" ht="15.75" customHeight="1">
      <c r="E656" s="3"/>
    </row>
    <row r="657" ht="15.75" customHeight="1">
      <c r="E657" s="3"/>
    </row>
    <row r="658" ht="15.75" customHeight="1">
      <c r="E658" s="3"/>
    </row>
    <row r="659" ht="15.75" customHeight="1">
      <c r="E659" s="3"/>
    </row>
    <row r="660" ht="15.75" customHeight="1">
      <c r="E660" s="3"/>
    </row>
    <row r="661" ht="15.75" customHeight="1">
      <c r="E661" s="3"/>
    </row>
    <row r="662" ht="15.75" customHeight="1">
      <c r="E662" s="3"/>
    </row>
    <row r="663" ht="15.75" customHeight="1">
      <c r="E663" s="3"/>
    </row>
    <row r="664" ht="15.75" customHeight="1">
      <c r="E664" s="3"/>
    </row>
    <row r="665" ht="15.75" customHeight="1">
      <c r="E665" s="3"/>
    </row>
    <row r="666" ht="15.75" customHeight="1">
      <c r="E666" s="3"/>
    </row>
    <row r="667" ht="15.75" customHeight="1">
      <c r="E667" s="3"/>
    </row>
    <row r="668" ht="15.75" customHeight="1">
      <c r="E668" s="3"/>
    </row>
    <row r="669" ht="15.75" customHeight="1">
      <c r="E669" s="3"/>
    </row>
    <row r="670" ht="15.75" customHeight="1">
      <c r="E670" s="3"/>
    </row>
    <row r="671" ht="15.75" customHeight="1">
      <c r="E671" s="3"/>
    </row>
    <row r="672" ht="15.75" customHeight="1">
      <c r="E672" s="3"/>
    </row>
    <row r="673" ht="15.75" customHeight="1">
      <c r="E673" s="3"/>
    </row>
    <row r="674" ht="15.75" customHeight="1">
      <c r="E674" s="3"/>
    </row>
    <row r="675" ht="15.75" customHeight="1">
      <c r="E675" s="3"/>
    </row>
    <row r="676" ht="15.75" customHeight="1">
      <c r="E676" s="3"/>
    </row>
    <row r="677" ht="15.75" customHeight="1">
      <c r="E677" s="3"/>
    </row>
    <row r="678" ht="15.75" customHeight="1">
      <c r="E678" s="3"/>
    </row>
    <row r="679" ht="15.75" customHeight="1">
      <c r="E679" s="3"/>
    </row>
    <row r="680" ht="15.75" customHeight="1">
      <c r="E680" s="3"/>
    </row>
    <row r="681" ht="15.75" customHeight="1">
      <c r="E681" s="3"/>
    </row>
    <row r="682" ht="15.75" customHeight="1">
      <c r="E682" s="3"/>
    </row>
    <row r="683" ht="15.75" customHeight="1">
      <c r="E683" s="3"/>
    </row>
    <row r="684" ht="15.75" customHeight="1">
      <c r="E684" s="3"/>
    </row>
    <row r="685" ht="15.75" customHeight="1">
      <c r="E685" s="3"/>
    </row>
    <row r="686" ht="15.75" customHeight="1">
      <c r="E686" s="3"/>
    </row>
    <row r="687" ht="15.75" customHeight="1">
      <c r="E687" s="3"/>
    </row>
    <row r="688" ht="15.75" customHeight="1">
      <c r="E688" s="3"/>
    </row>
    <row r="689" ht="15.75" customHeight="1">
      <c r="E689" s="3"/>
    </row>
    <row r="690" ht="15.75" customHeight="1">
      <c r="E690" s="3"/>
    </row>
    <row r="691" ht="15.75" customHeight="1">
      <c r="E691" s="3"/>
    </row>
    <row r="692" ht="15.75" customHeight="1">
      <c r="E692" s="3"/>
    </row>
    <row r="693" ht="15.75" customHeight="1">
      <c r="E693" s="3"/>
    </row>
    <row r="694" ht="15.75" customHeight="1">
      <c r="E694" s="3"/>
    </row>
    <row r="695" ht="15.75" customHeight="1">
      <c r="E695" s="3"/>
    </row>
    <row r="696" ht="15.75" customHeight="1">
      <c r="E696" s="3"/>
    </row>
    <row r="697" ht="15.75" customHeight="1">
      <c r="E697" s="3"/>
    </row>
    <row r="698" ht="15.75" customHeight="1">
      <c r="E698" s="3"/>
    </row>
    <row r="699" ht="15.75" customHeight="1">
      <c r="E699" s="3"/>
    </row>
    <row r="700" ht="15.75" customHeight="1">
      <c r="E700" s="3"/>
    </row>
    <row r="701" ht="15.75" customHeight="1">
      <c r="E701" s="3"/>
    </row>
    <row r="702" ht="15.75" customHeight="1">
      <c r="E702" s="3"/>
    </row>
    <row r="703" ht="15.75" customHeight="1">
      <c r="E703" s="3"/>
    </row>
    <row r="704" ht="15.75" customHeight="1">
      <c r="E704" s="3"/>
    </row>
    <row r="705" ht="15.75" customHeight="1">
      <c r="E705" s="3"/>
    </row>
    <row r="706" ht="15.75" customHeight="1">
      <c r="E706" s="3"/>
    </row>
    <row r="707" ht="15.75" customHeight="1">
      <c r="E707" s="3"/>
    </row>
    <row r="708" ht="15.75" customHeight="1">
      <c r="E708" s="3"/>
    </row>
    <row r="709" ht="15.75" customHeight="1">
      <c r="E709" s="3"/>
    </row>
    <row r="710" ht="15.75" customHeight="1">
      <c r="E710" s="3"/>
    </row>
    <row r="711" ht="15.75" customHeight="1">
      <c r="E711" s="3"/>
    </row>
    <row r="712" ht="15.75" customHeight="1">
      <c r="E712" s="3"/>
    </row>
    <row r="713" ht="15.75" customHeight="1">
      <c r="E713" s="3"/>
    </row>
    <row r="714" ht="15.75" customHeight="1">
      <c r="E714" s="3"/>
    </row>
    <row r="715" ht="15.75" customHeight="1">
      <c r="E715" s="3"/>
    </row>
    <row r="716" ht="15.75" customHeight="1">
      <c r="E716" s="3"/>
    </row>
    <row r="717" ht="15.75" customHeight="1">
      <c r="E717" s="3"/>
    </row>
    <row r="718" ht="15.75" customHeight="1">
      <c r="E718" s="3"/>
    </row>
    <row r="719" ht="15.75" customHeight="1">
      <c r="E719" s="3"/>
    </row>
    <row r="720" ht="15.75" customHeight="1">
      <c r="E720" s="3"/>
    </row>
    <row r="721" ht="15.75" customHeight="1">
      <c r="E721" s="3"/>
    </row>
    <row r="722" ht="15.75" customHeight="1">
      <c r="E722" s="3"/>
    </row>
    <row r="723" ht="15.75" customHeight="1">
      <c r="E723" s="3"/>
    </row>
    <row r="724" ht="15.75" customHeight="1">
      <c r="E724" s="3"/>
    </row>
    <row r="725" ht="15.75" customHeight="1">
      <c r="E725" s="3"/>
    </row>
    <row r="726" ht="15.75" customHeight="1">
      <c r="E726" s="3"/>
    </row>
    <row r="727" ht="15.75" customHeight="1">
      <c r="E727" s="3"/>
    </row>
    <row r="728" ht="15.75" customHeight="1">
      <c r="E728" s="3"/>
    </row>
    <row r="729" ht="15.75" customHeight="1">
      <c r="E729" s="3"/>
    </row>
    <row r="730" ht="15.75" customHeight="1">
      <c r="E730" s="3"/>
    </row>
    <row r="731" ht="15.75" customHeight="1">
      <c r="E731" s="3"/>
    </row>
    <row r="732" ht="15.75" customHeight="1">
      <c r="E732" s="3"/>
    </row>
    <row r="733" ht="15.75" customHeight="1">
      <c r="E733" s="3"/>
    </row>
    <row r="734" ht="15.75" customHeight="1">
      <c r="E734" s="3"/>
    </row>
    <row r="735" ht="15.75" customHeight="1">
      <c r="E735" s="3"/>
    </row>
    <row r="736" ht="15.75" customHeight="1">
      <c r="E736" s="3"/>
    </row>
    <row r="737" ht="15.75" customHeight="1">
      <c r="E737" s="3"/>
    </row>
    <row r="738" ht="15.75" customHeight="1">
      <c r="E738" s="3"/>
    </row>
    <row r="739" ht="15.75" customHeight="1">
      <c r="E739" s="3"/>
    </row>
    <row r="740" ht="15.75" customHeight="1">
      <c r="E740" s="3"/>
    </row>
    <row r="741" ht="15.75" customHeight="1">
      <c r="E741" s="3"/>
    </row>
    <row r="742" ht="15.75" customHeight="1">
      <c r="E742" s="3"/>
    </row>
    <row r="743" ht="15.75" customHeight="1">
      <c r="E743" s="3"/>
    </row>
    <row r="744" ht="15.75" customHeight="1">
      <c r="E744" s="3"/>
    </row>
    <row r="745" ht="15.75" customHeight="1">
      <c r="E745" s="3"/>
    </row>
    <row r="746" ht="15.75" customHeight="1">
      <c r="E746" s="3"/>
    </row>
    <row r="747" ht="15.75" customHeight="1">
      <c r="E747" s="3"/>
    </row>
    <row r="748" ht="15.75" customHeight="1">
      <c r="E748" s="3"/>
    </row>
    <row r="749" ht="15.75" customHeight="1">
      <c r="E749" s="3"/>
    </row>
    <row r="750" ht="15.75" customHeight="1">
      <c r="E750" s="3"/>
    </row>
    <row r="751" ht="15.75" customHeight="1">
      <c r="E751" s="3"/>
    </row>
    <row r="752" ht="15.75" customHeight="1">
      <c r="E752" s="3"/>
    </row>
    <row r="753" ht="15.75" customHeight="1">
      <c r="E753" s="3"/>
    </row>
    <row r="754" ht="15.75" customHeight="1">
      <c r="E754" s="3"/>
    </row>
    <row r="755" ht="15.75" customHeight="1">
      <c r="E755" s="3"/>
    </row>
    <row r="756" ht="15.75" customHeight="1">
      <c r="E756" s="3"/>
    </row>
    <row r="757" ht="15.75" customHeight="1">
      <c r="E757" s="3"/>
    </row>
    <row r="758" ht="15.75" customHeight="1">
      <c r="E758" s="3"/>
    </row>
    <row r="759" ht="15.75" customHeight="1">
      <c r="E759" s="3"/>
    </row>
    <row r="760" ht="15.75" customHeight="1">
      <c r="E760" s="3"/>
    </row>
    <row r="761" ht="15.75" customHeight="1">
      <c r="E761" s="3"/>
    </row>
    <row r="762" ht="15.75" customHeight="1">
      <c r="E762" s="3"/>
    </row>
    <row r="763" ht="15.75" customHeight="1">
      <c r="E763" s="3"/>
    </row>
    <row r="764" ht="15.75" customHeight="1">
      <c r="E764" s="3"/>
    </row>
    <row r="765" ht="15.75" customHeight="1">
      <c r="E765" s="3"/>
    </row>
    <row r="766" ht="15.75" customHeight="1">
      <c r="E766" s="3"/>
    </row>
    <row r="767" ht="15.75" customHeight="1">
      <c r="E767" s="3"/>
    </row>
    <row r="768" ht="15.75" customHeight="1">
      <c r="E768" s="3"/>
    </row>
    <row r="769" ht="15.75" customHeight="1">
      <c r="E769" s="3"/>
    </row>
    <row r="770" ht="15.75" customHeight="1">
      <c r="E770" s="3"/>
    </row>
    <row r="771" ht="15.75" customHeight="1">
      <c r="E771" s="3"/>
    </row>
    <row r="772" ht="15.75" customHeight="1">
      <c r="E772" s="3"/>
    </row>
    <row r="773" ht="15.75" customHeight="1">
      <c r="E773" s="3"/>
    </row>
    <row r="774" ht="15.75" customHeight="1">
      <c r="E774" s="3"/>
    </row>
    <row r="775" ht="15.75" customHeight="1">
      <c r="E775" s="3"/>
    </row>
    <row r="776" ht="15.75" customHeight="1">
      <c r="E776" s="3"/>
    </row>
    <row r="777" ht="15.75" customHeight="1">
      <c r="E777" s="3"/>
    </row>
    <row r="778" ht="15.75" customHeight="1">
      <c r="E778" s="3"/>
    </row>
    <row r="779" ht="15.75" customHeight="1">
      <c r="E779" s="3"/>
    </row>
    <row r="780" ht="15.75" customHeight="1">
      <c r="E780" s="3"/>
    </row>
    <row r="781" ht="15.75" customHeight="1">
      <c r="E781" s="3"/>
    </row>
    <row r="782" ht="15.75" customHeight="1">
      <c r="E782" s="3"/>
    </row>
    <row r="783" ht="15.75" customHeight="1">
      <c r="E783" s="3"/>
    </row>
    <row r="784" ht="15.75" customHeight="1">
      <c r="E784" s="3"/>
    </row>
    <row r="785" ht="15.75" customHeight="1">
      <c r="E785" s="3"/>
    </row>
    <row r="786" ht="15.75" customHeight="1">
      <c r="E786" s="3"/>
    </row>
    <row r="787" ht="15.75" customHeight="1">
      <c r="E787" s="3"/>
    </row>
    <row r="788" ht="15.75" customHeight="1">
      <c r="E788" s="3"/>
    </row>
    <row r="789" ht="15.75" customHeight="1">
      <c r="E789" s="3"/>
    </row>
    <row r="790" ht="15.75" customHeight="1">
      <c r="E790" s="3"/>
    </row>
    <row r="791" ht="15.75" customHeight="1">
      <c r="E791" s="3"/>
    </row>
    <row r="792" ht="15.75" customHeight="1">
      <c r="E792" s="3"/>
    </row>
    <row r="793" ht="15.75" customHeight="1">
      <c r="E793" s="3"/>
    </row>
    <row r="794" ht="15.75" customHeight="1">
      <c r="E794" s="3"/>
    </row>
    <row r="795" ht="15.75" customHeight="1">
      <c r="E795" s="3"/>
    </row>
    <row r="796" ht="15.75" customHeight="1">
      <c r="E796" s="3"/>
    </row>
    <row r="797" ht="15.75" customHeight="1">
      <c r="E797" s="3"/>
    </row>
    <row r="798" ht="15.75" customHeight="1">
      <c r="E798" s="3"/>
    </row>
    <row r="799" ht="15.75" customHeight="1">
      <c r="E799" s="3"/>
    </row>
    <row r="800" ht="15.75" customHeight="1">
      <c r="E800" s="3"/>
    </row>
    <row r="801" ht="15.75" customHeight="1">
      <c r="E801" s="3"/>
    </row>
    <row r="802" ht="15.75" customHeight="1">
      <c r="E802" s="3"/>
    </row>
    <row r="803" ht="15.75" customHeight="1">
      <c r="E803" s="3"/>
    </row>
    <row r="804" ht="15.75" customHeight="1">
      <c r="E804" s="3"/>
    </row>
    <row r="805" ht="15.75" customHeight="1">
      <c r="E805" s="3"/>
    </row>
    <row r="806" ht="15.75" customHeight="1">
      <c r="E806" s="3"/>
    </row>
    <row r="807" ht="15.75" customHeight="1">
      <c r="E807" s="3"/>
    </row>
    <row r="808" ht="15.75" customHeight="1">
      <c r="E808" s="3"/>
    </row>
    <row r="809" ht="15.75" customHeight="1">
      <c r="E809" s="3"/>
    </row>
    <row r="810" ht="15.75" customHeight="1">
      <c r="E810" s="3"/>
    </row>
    <row r="811" ht="15.75" customHeight="1">
      <c r="E811" s="3"/>
    </row>
    <row r="812" ht="15.75" customHeight="1">
      <c r="E812" s="3"/>
    </row>
    <row r="813" ht="15.75" customHeight="1">
      <c r="E813" s="3"/>
    </row>
    <row r="814" ht="15.75" customHeight="1">
      <c r="E814" s="3"/>
    </row>
    <row r="815" ht="15.75" customHeight="1">
      <c r="E815" s="3"/>
    </row>
    <row r="816" ht="15.75" customHeight="1">
      <c r="E816" s="3"/>
    </row>
    <row r="817" ht="15.75" customHeight="1">
      <c r="E817" s="3"/>
    </row>
    <row r="818" ht="15.75" customHeight="1">
      <c r="E818" s="3"/>
    </row>
    <row r="819" ht="15.75" customHeight="1">
      <c r="E819" s="3"/>
    </row>
    <row r="820" ht="15.75" customHeight="1">
      <c r="E820" s="3"/>
    </row>
    <row r="821" ht="15.75" customHeight="1">
      <c r="E821" s="3"/>
    </row>
    <row r="822" ht="15.75" customHeight="1">
      <c r="E822" s="3"/>
    </row>
    <row r="823" ht="15.75" customHeight="1">
      <c r="E823" s="3"/>
    </row>
    <row r="824" ht="15.75" customHeight="1">
      <c r="E824" s="3"/>
    </row>
    <row r="825" ht="15.75" customHeight="1">
      <c r="E825" s="3"/>
    </row>
    <row r="826" ht="15.75" customHeight="1">
      <c r="E826" s="3"/>
    </row>
    <row r="827" ht="15.75" customHeight="1">
      <c r="E827" s="3"/>
    </row>
    <row r="828" ht="15.75" customHeight="1">
      <c r="E828" s="3"/>
    </row>
    <row r="829" ht="15.75" customHeight="1">
      <c r="E829" s="3"/>
    </row>
    <row r="830" ht="15.75" customHeight="1">
      <c r="E830" s="3"/>
    </row>
    <row r="831" ht="15.75" customHeight="1">
      <c r="E831" s="3"/>
    </row>
    <row r="832" ht="15.75" customHeight="1">
      <c r="E832" s="3"/>
    </row>
    <row r="833" ht="15.75" customHeight="1">
      <c r="E833" s="3"/>
    </row>
    <row r="834" ht="15.75" customHeight="1">
      <c r="E834" s="3"/>
    </row>
    <row r="835" ht="15.75" customHeight="1">
      <c r="E835" s="3"/>
    </row>
    <row r="836" ht="15.75" customHeight="1">
      <c r="E836" s="3"/>
    </row>
    <row r="837" ht="15.75" customHeight="1">
      <c r="E837" s="3"/>
    </row>
    <row r="838" ht="15.75" customHeight="1">
      <c r="E838" s="3"/>
    </row>
    <row r="839" ht="15.75" customHeight="1">
      <c r="E839" s="3"/>
    </row>
    <row r="840" ht="15.75" customHeight="1">
      <c r="E840" s="3"/>
    </row>
    <row r="841" ht="15.75" customHeight="1">
      <c r="E841" s="3"/>
    </row>
    <row r="842" ht="15.75" customHeight="1">
      <c r="E842" s="3"/>
    </row>
    <row r="843" ht="15.75" customHeight="1">
      <c r="E843" s="3"/>
    </row>
    <row r="844" ht="15.75" customHeight="1">
      <c r="E844" s="3"/>
    </row>
    <row r="845" ht="15.75" customHeight="1">
      <c r="E845" s="3"/>
    </row>
    <row r="846" ht="15.75" customHeight="1">
      <c r="E846" s="3"/>
    </row>
    <row r="847" ht="15.75" customHeight="1">
      <c r="E847" s="3"/>
    </row>
    <row r="848" ht="15.75" customHeight="1">
      <c r="E848" s="3"/>
    </row>
    <row r="849" ht="15.75" customHeight="1">
      <c r="E849" s="3"/>
    </row>
    <row r="850" ht="15.75" customHeight="1">
      <c r="E850" s="3"/>
    </row>
    <row r="851" ht="15.75" customHeight="1">
      <c r="E851" s="3"/>
    </row>
    <row r="852" ht="15.75" customHeight="1">
      <c r="E852" s="3"/>
    </row>
    <row r="853" ht="15.75" customHeight="1">
      <c r="E853" s="3"/>
    </row>
    <row r="854" ht="15.75" customHeight="1">
      <c r="E854" s="3"/>
    </row>
    <row r="855" ht="15.75" customHeight="1">
      <c r="E855" s="3"/>
    </row>
    <row r="856" ht="15.75" customHeight="1">
      <c r="E856" s="3"/>
    </row>
    <row r="857" ht="15.75" customHeight="1">
      <c r="E857" s="3"/>
    </row>
    <row r="858" ht="15.75" customHeight="1">
      <c r="E858" s="3"/>
    </row>
    <row r="859" ht="15.75" customHeight="1">
      <c r="E859" s="3"/>
    </row>
    <row r="860" ht="15.75" customHeight="1">
      <c r="E860" s="3"/>
    </row>
    <row r="861" ht="15.75" customHeight="1">
      <c r="E861" s="3"/>
    </row>
    <row r="862" ht="15.75" customHeight="1">
      <c r="E862" s="3"/>
    </row>
    <row r="863" ht="15.75" customHeight="1">
      <c r="E863" s="3"/>
    </row>
    <row r="864" ht="15.75" customHeight="1">
      <c r="E864" s="3"/>
    </row>
    <row r="865" ht="15.75" customHeight="1">
      <c r="E865" s="3"/>
    </row>
    <row r="866" ht="15.75" customHeight="1">
      <c r="E866" s="3"/>
    </row>
    <row r="867" ht="15.75" customHeight="1">
      <c r="E867" s="3"/>
    </row>
    <row r="868" ht="15.75" customHeight="1">
      <c r="E868" s="3"/>
    </row>
    <row r="869" ht="15.75" customHeight="1">
      <c r="E869" s="3"/>
    </row>
    <row r="870" ht="15.75" customHeight="1">
      <c r="E870" s="3"/>
    </row>
    <row r="871" ht="15.75" customHeight="1">
      <c r="E871" s="3"/>
    </row>
    <row r="872" ht="15.75" customHeight="1">
      <c r="E872" s="3"/>
    </row>
    <row r="873" ht="15.75" customHeight="1">
      <c r="E873" s="3"/>
    </row>
    <row r="874" ht="15.75" customHeight="1">
      <c r="E874" s="3"/>
    </row>
    <row r="875" ht="15.75" customHeight="1">
      <c r="E875" s="3"/>
    </row>
    <row r="876" ht="15.75" customHeight="1">
      <c r="E876" s="3"/>
    </row>
    <row r="877" ht="15.75" customHeight="1">
      <c r="E877" s="3"/>
    </row>
    <row r="878" ht="15.75" customHeight="1">
      <c r="E878" s="3"/>
    </row>
    <row r="879" ht="15.75" customHeight="1">
      <c r="E879" s="3"/>
    </row>
    <row r="880" ht="15.75" customHeight="1">
      <c r="E880" s="3"/>
    </row>
    <row r="881" ht="15.75" customHeight="1">
      <c r="E881" s="3"/>
    </row>
    <row r="882" ht="15.75" customHeight="1">
      <c r="E882" s="3"/>
    </row>
    <row r="883" ht="15.75" customHeight="1">
      <c r="E883" s="3"/>
    </row>
    <row r="884" ht="15.75" customHeight="1">
      <c r="E884" s="3"/>
    </row>
    <row r="885" ht="15.75" customHeight="1">
      <c r="E885" s="3"/>
    </row>
    <row r="886" ht="15.75" customHeight="1">
      <c r="E886" s="3"/>
    </row>
    <row r="887" ht="15.75" customHeight="1">
      <c r="E887" s="3"/>
    </row>
    <row r="888" ht="15.75" customHeight="1">
      <c r="E888" s="3"/>
    </row>
    <row r="889" ht="15.75" customHeight="1">
      <c r="E889" s="3"/>
    </row>
    <row r="890" ht="15.75" customHeight="1">
      <c r="E890" s="3"/>
    </row>
    <row r="891" ht="15.75" customHeight="1">
      <c r="E891" s="3"/>
    </row>
    <row r="892" ht="15.75" customHeight="1">
      <c r="E892" s="3"/>
    </row>
    <row r="893" ht="15.75" customHeight="1">
      <c r="E893" s="3"/>
    </row>
    <row r="894" ht="15.75" customHeight="1">
      <c r="E894" s="3"/>
    </row>
    <row r="895" ht="15.75" customHeight="1">
      <c r="E895" s="3"/>
    </row>
    <row r="896" ht="15.75" customHeight="1">
      <c r="E896" s="3"/>
    </row>
    <row r="897" ht="15.75" customHeight="1">
      <c r="E897" s="3"/>
    </row>
    <row r="898" ht="15.75" customHeight="1">
      <c r="E898" s="3"/>
    </row>
    <row r="899" ht="15.75" customHeight="1">
      <c r="E899" s="3"/>
    </row>
    <row r="900" ht="15.75" customHeight="1">
      <c r="E900" s="3"/>
    </row>
    <row r="901" ht="15.75" customHeight="1">
      <c r="E901" s="3"/>
    </row>
    <row r="902" ht="15.75" customHeight="1">
      <c r="E902" s="3"/>
    </row>
    <row r="903" ht="15.75" customHeight="1">
      <c r="E903" s="3"/>
    </row>
    <row r="904" ht="15.75" customHeight="1">
      <c r="E904" s="3"/>
    </row>
    <row r="905" ht="15.75" customHeight="1">
      <c r="E905" s="3"/>
    </row>
    <row r="906" ht="15.75" customHeight="1">
      <c r="E906" s="3"/>
    </row>
    <row r="907" ht="15.75" customHeight="1">
      <c r="E907" s="3"/>
    </row>
    <row r="908" ht="15.75" customHeight="1">
      <c r="E908" s="3"/>
    </row>
    <row r="909" ht="15.75" customHeight="1">
      <c r="E909" s="3"/>
    </row>
    <row r="910" ht="15.75" customHeight="1">
      <c r="E910" s="3"/>
    </row>
    <row r="911" ht="15.75" customHeight="1">
      <c r="E911" s="3"/>
    </row>
    <row r="912" ht="15.75" customHeight="1">
      <c r="E912" s="3"/>
    </row>
    <row r="913" ht="15.75" customHeight="1">
      <c r="E913" s="3"/>
    </row>
    <row r="914" ht="15.75" customHeight="1">
      <c r="E914" s="3"/>
    </row>
    <row r="915" ht="15.75" customHeight="1">
      <c r="E915" s="3"/>
    </row>
    <row r="916" ht="15.75" customHeight="1">
      <c r="E916" s="3"/>
    </row>
    <row r="917" ht="15.75" customHeight="1">
      <c r="E917" s="3"/>
    </row>
    <row r="918" ht="15.75" customHeight="1">
      <c r="E918" s="3"/>
    </row>
    <row r="919" ht="15.75" customHeight="1">
      <c r="E919" s="3"/>
    </row>
    <row r="920" ht="15.75" customHeight="1">
      <c r="E920" s="3"/>
    </row>
    <row r="921" ht="15.75" customHeight="1">
      <c r="E921" s="3"/>
    </row>
    <row r="922" ht="15.75" customHeight="1">
      <c r="E922" s="3"/>
    </row>
    <row r="923" ht="15.75" customHeight="1">
      <c r="E923" s="3"/>
    </row>
    <row r="924" ht="15.75" customHeight="1">
      <c r="E924" s="3"/>
    </row>
    <row r="925" ht="15.75" customHeight="1">
      <c r="E925" s="3"/>
    </row>
    <row r="926" ht="15.75" customHeight="1">
      <c r="E926" s="3"/>
    </row>
    <row r="927" ht="15.75" customHeight="1">
      <c r="E927" s="3"/>
    </row>
    <row r="928" ht="15.75" customHeight="1">
      <c r="E928" s="3"/>
    </row>
    <row r="929" ht="15.75" customHeight="1">
      <c r="E929" s="3"/>
    </row>
    <row r="930" ht="15.75" customHeight="1">
      <c r="E930" s="3"/>
    </row>
    <row r="931" ht="15.75" customHeight="1">
      <c r="E931" s="3"/>
    </row>
    <row r="932" ht="15.75" customHeight="1">
      <c r="E932" s="3"/>
    </row>
    <row r="933" ht="15.75" customHeight="1">
      <c r="E933" s="3"/>
    </row>
    <row r="934" ht="15.75" customHeight="1">
      <c r="E934" s="3"/>
    </row>
    <row r="935" ht="15.75" customHeight="1">
      <c r="E935" s="3"/>
    </row>
    <row r="936" ht="15.75" customHeight="1">
      <c r="E936" s="3"/>
    </row>
    <row r="937" ht="15.75" customHeight="1">
      <c r="E937" s="3"/>
    </row>
    <row r="938" ht="15.75" customHeight="1">
      <c r="E938" s="3"/>
    </row>
    <row r="939" ht="15.75" customHeight="1">
      <c r="E939" s="3"/>
    </row>
    <row r="940" ht="15.75" customHeight="1">
      <c r="E940" s="3"/>
    </row>
    <row r="941" ht="15.75" customHeight="1">
      <c r="E941" s="3"/>
    </row>
    <row r="942" ht="15.75" customHeight="1">
      <c r="E942" s="3"/>
    </row>
    <row r="943" ht="15.75" customHeight="1">
      <c r="E943" s="3"/>
    </row>
    <row r="944" ht="15.75" customHeight="1">
      <c r="E944" s="3"/>
    </row>
    <row r="945" ht="15.75" customHeight="1">
      <c r="E945" s="3"/>
    </row>
    <row r="946" ht="15.75" customHeight="1">
      <c r="E946" s="3"/>
    </row>
    <row r="947" ht="15.75" customHeight="1">
      <c r="E947" s="3"/>
    </row>
    <row r="948" ht="15.75" customHeight="1">
      <c r="E948" s="3"/>
    </row>
    <row r="949" ht="15.75" customHeight="1">
      <c r="E949" s="3"/>
    </row>
    <row r="950" ht="15.75" customHeight="1">
      <c r="E950" s="3"/>
    </row>
    <row r="951" ht="15.75" customHeight="1">
      <c r="E951" s="3"/>
    </row>
    <row r="952" ht="15.75" customHeight="1">
      <c r="E952" s="3"/>
    </row>
    <row r="953" ht="15.75" customHeight="1">
      <c r="E953" s="3"/>
    </row>
    <row r="954" ht="15.75" customHeight="1">
      <c r="E954" s="3"/>
    </row>
    <row r="955" ht="15.75" customHeight="1">
      <c r="E955" s="3"/>
    </row>
    <row r="956" ht="15.75" customHeight="1">
      <c r="E956" s="3"/>
    </row>
    <row r="957" ht="15.75" customHeight="1">
      <c r="E957" s="3"/>
    </row>
    <row r="958" ht="15.75" customHeight="1">
      <c r="E958" s="3"/>
    </row>
    <row r="959" ht="15.75" customHeight="1">
      <c r="E959" s="3"/>
    </row>
    <row r="960" ht="15.75" customHeight="1">
      <c r="E960" s="3"/>
    </row>
    <row r="961" ht="15.75" customHeight="1">
      <c r="E961" s="3"/>
    </row>
    <row r="962" ht="15.75" customHeight="1">
      <c r="E962" s="3"/>
    </row>
    <row r="963" ht="15.75" customHeight="1">
      <c r="E963" s="3"/>
    </row>
    <row r="964" ht="15.75" customHeight="1">
      <c r="E964" s="3"/>
    </row>
    <row r="965" ht="15.75" customHeight="1">
      <c r="E965" s="3"/>
    </row>
    <row r="966" ht="15.75" customHeight="1">
      <c r="E966" s="3"/>
    </row>
    <row r="967" ht="15.75" customHeight="1">
      <c r="E967" s="3"/>
    </row>
    <row r="968" ht="15.75" customHeight="1">
      <c r="E968" s="3"/>
    </row>
    <row r="969" ht="15.75" customHeight="1">
      <c r="E969" s="3"/>
    </row>
    <row r="970" ht="15.75" customHeight="1">
      <c r="E970" s="3"/>
    </row>
    <row r="971" ht="15.75" customHeight="1">
      <c r="E971" s="3"/>
    </row>
    <row r="972" ht="15.75" customHeight="1">
      <c r="E972" s="3"/>
    </row>
    <row r="973" ht="15.75" customHeight="1">
      <c r="E973" s="3"/>
    </row>
    <row r="974" ht="15.75" customHeight="1">
      <c r="E974" s="3"/>
    </row>
    <row r="975" ht="15.75" customHeight="1">
      <c r="E975" s="3"/>
    </row>
    <row r="976" ht="15.75" customHeight="1">
      <c r="E976" s="3"/>
    </row>
    <row r="977" ht="15.75" customHeight="1">
      <c r="E977" s="3"/>
    </row>
    <row r="978" ht="15.75" customHeight="1">
      <c r="E978" s="3"/>
    </row>
    <row r="979" ht="15.75" customHeight="1">
      <c r="E979" s="3"/>
    </row>
    <row r="980" ht="15.75" customHeight="1">
      <c r="E980" s="3"/>
    </row>
    <row r="981" ht="15.75" customHeight="1">
      <c r="E981" s="3"/>
    </row>
    <row r="982" ht="15.75" customHeight="1">
      <c r="E982" s="3"/>
    </row>
    <row r="983" ht="15.75" customHeight="1">
      <c r="E983" s="3"/>
    </row>
    <row r="984" ht="15.75" customHeight="1">
      <c r="E984" s="3"/>
    </row>
    <row r="985" ht="15.75" customHeight="1">
      <c r="E985" s="3"/>
    </row>
    <row r="986" ht="15.75" customHeight="1">
      <c r="E986" s="3"/>
    </row>
    <row r="987" ht="15.75" customHeight="1">
      <c r="E987" s="3"/>
    </row>
    <row r="988" ht="15.75" customHeight="1">
      <c r="E988" s="3"/>
    </row>
    <row r="989" ht="15.75" customHeight="1">
      <c r="E989" s="3"/>
    </row>
    <row r="990" ht="15.75" customHeight="1">
      <c r="E990" s="3"/>
    </row>
    <row r="991" ht="15.75" customHeight="1">
      <c r="E991" s="3"/>
    </row>
    <row r="992" ht="15.75" customHeight="1">
      <c r="E992" s="3"/>
    </row>
    <row r="993" ht="15.75" customHeight="1">
      <c r="E993" s="3"/>
    </row>
    <row r="994" ht="15.75" customHeight="1">
      <c r="E994" s="3"/>
    </row>
    <row r="995" ht="15.75" customHeight="1">
      <c r="E995" s="3"/>
    </row>
    <row r="996" ht="15.75" customHeight="1">
      <c r="E996" s="3"/>
    </row>
    <row r="997" ht="15.75" customHeight="1">
      <c r="E997" s="3"/>
    </row>
    <row r="998" ht="15.75" customHeight="1">
      <c r="E998" s="3"/>
    </row>
    <row r="999" ht="15.75" customHeight="1">
      <c r="E999" s="3"/>
    </row>
    <row r="1000" ht="15.75" customHeight="1">
      <c r="E1000" s="3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53.0"/>
    <col customWidth="1" min="2" max="2" width="7.0"/>
    <col customWidth="1" min="3" max="3" width="5.57"/>
    <col customWidth="1" min="4" max="5" width="164.57"/>
    <col customWidth="1" min="6" max="6" width="14.43"/>
  </cols>
  <sheetData>
    <row r="1">
      <c r="A1" s="1" t="s">
        <v>0</v>
      </c>
      <c r="B1" s="1" t="s">
        <v>102</v>
      </c>
      <c r="C1" s="1" t="s">
        <v>103</v>
      </c>
      <c r="D1" s="1" t="s">
        <v>1</v>
      </c>
      <c r="E1" s="1"/>
    </row>
    <row r="2">
      <c r="A2" s="1" t="s">
        <v>5</v>
      </c>
      <c r="B2" s="1">
        <v>130.0</v>
      </c>
      <c r="C2" s="1" t="s">
        <v>7</v>
      </c>
      <c r="D2" s="1" t="s">
        <v>104</v>
      </c>
      <c r="E2" s="1"/>
    </row>
    <row r="3">
      <c r="A3" s="1" t="s">
        <v>105</v>
      </c>
      <c r="B3" s="1">
        <v>30.0</v>
      </c>
      <c r="C3" s="1" t="s">
        <v>7</v>
      </c>
      <c r="D3" s="1" t="s">
        <v>106</v>
      </c>
      <c r="E3" s="1"/>
    </row>
    <row r="4">
      <c r="A4" s="1" t="s">
        <v>107</v>
      </c>
      <c r="B4" s="1">
        <v>30.0</v>
      </c>
      <c r="C4" s="1" t="s">
        <v>7</v>
      </c>
      <c r="D4" s="1" t="s">
        <v>108</v>
      </c>
      <c r="E4" s="1"/>
    </row>
    <row r="5">
      <c r="A5" s="1" t="s">
        <v>109</v>
      </c>
      <c r="B5" s="1">
        <v>15.0</v>
      </c>
      <c r="C5" s="1" t="s">
        <v>7</v>
      </c>
      <c r="D5" s="1" t="s">
        <v>110</v>
      </c>
      <c r="E5" s="1"/>
    </row>
    <row r="6">
      <c r="A6" s="1" t="s">
        <v>111</v>
      </c>
      <c r="B6" s="1">
        <v>58.0</v>
      </c>
      <c r="C6" s="1" t="s">
        <v>7</v>
      </c>
      <c r="D6" s="1" t="s">
        <v>112</v>
      </c>
      <c r="E6" s="1"/>
    </row>
    <row r="7">
      <c r="A7" s="1" t="s">
        <v>113</v>
      </c>
      <c r="B7" s="1">
        <v>20.0</v>
      </c>
      <c r="C7" s="1" t="s">
        <v>7</v>
      </c>
      <c r="D7" s="1" t="s">
        <v>114</v>
      </c>
      <c r="E7" s="1"/>
    </row>
    <row r="8">
      <c r="A8" s="1" t="s">
        <v>115</v>
      </c>
      <c r="B8" s="1">
        <v>40.0</v>
      </c>
      <c r="C8" s="1" t="s">
        <v>7</v>
      </c>
      <c r="D8" s="1" t="s">
        <v>116</v>
      </c>
      <c r="E8" s="1"/>
    </row>
    <row r="9">
      <c r="A9" s="1" t="s">
        <v>117</v>
      </c>
      <c r="B9" s="1">
        <v>7.0</v>
      </c>
      <c r="C9" s="1" t="s">
        <v>7</v>
      </c>
      <c r="D9" s="1" t="s">
        <v>118</v>
      </c>
      <c r="E9" s="1"/>
    </row>
    <row r="10">
      <c r="A10" s="1" t="s">
        <v>119</v>
      </c>
      <c r="B10" s="1">
        <v>13.0</v>
      </c>
      <c r="C10" s="1" t="s">
        <v>7</v>
      </c>
      <c r="D10" s="1" t="s">
        <v>120</v>
      </c>
      <c r="E10" s="1"/>
    </row>
    <row r="11">
      <c r="A11" s="1" t="s">
        <v>121</v>
      </c>
      <c r="B11" s="1">
        <v>17.0</v>
      </c>
      <c r="C11" s="1" t="s">
        <v>7</v>
      </c>
      <c r="D11" s="1" t="s">
        <v>122</v>
      </c>
      <c r="E11" s="1"/>
    </row>
    <row r="12">
      <c r="A12" s="1" t="s">
        <v>123</v>
      </c>
      <c r="B12" s="1">
        <v>25.0</v>
      </c>
      <c r="C12" s="1" t="s">
        <v>7</v>
      </c>
      <c r="D12" s="1" t="s">
        <v>124</v>
      </c>
      <c r="E12" s="1"/>
    </row>
    <row r="13">
      <c r="A13" s="1" t="s">
        <v>125</v>
      </c>
      <c r="B13" s="1">
        <v>12.0</v>
      </c>
      <c r="C13" s="1" t="s">
        <v>7</v>
      </c>
      <c r="D13" s="1" t="s">
        <v>126</v>
      </c>
      <c r="E13" s="1"/>
    </row>
    <row r="14">
      <c r="A14" s="1" t="s">
        <v>127</v>
      </c>
      <c r="B14" s="1">
        <v>15.0</v>
      </c>
      <c r="C14" s="1" t="s">
        <v>7</v>
      </c>
      <c r="D14" s="1" t="s">
        <v>128</v>
      </c>
      <c r="E14" s="1"/>
    </row>
    <row r="15">
      <c r="A15" s="1" t="s">
        <v>52</v>
      </c>
      <c r="B15" s="1">
        <v>0.5</v>
      </c>
      <c r="C15" s="1" t="s">
        <v>7</v>
      </c>
      <c r="D15" s="1" t="s">
        <v>129</v>
      </c>
      <c r="E15" s="1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5.71"/>
    <col customWidth="1" min="2" max="2" width="22.71"/>
    <col customWidth="1" min="3" max="3" width="26.14"/>
    <col customWidth="1" min="4" max="4" width="28.0"/>
    <col customWidth="1" min="5" max="5" width="23.86"/>
    <col customWidth="1" min="6" max="6" width="14.43"/>
  </cols>
  <sheetData>
    <row r="1">
      <c r="A1" s="6" t="s">
        <v>130</v>
      </c>
      <c r="B1" s="6" t="s">
        <v>131</v>
      </c>
      <c r="C1" s="6" t="s">
        <v>132</v>
      </c>
      <c r="D1" s="6" t="s">
        <v>133</v>
      </c>
      <c r="E1" s="6" t="s">
        <v>134</v>
      </c>
      <c r="F1" s="6"/>
      <c r="G1" s="6"/>
      <c r="H1" s="6"/>
      <c r="I1" s="6"/>
      <c r="J1" s="6"/>
      <c r="K1" s="6"/>
    </row>
    <row r="2">
      <c r="A2" s="7">
        <v>1.0</v>
      </c>
      <c r="B2" s="6" t="s">
        <v>135</v>
      </c>
      <c r="C2" s="6" t="s">
        <v>136</v>
      </c>
      <c r="D2" s="6" t="s">
        <v>137</v>
      </c>
      <c r="E2" s="6" t="s">
        <v>138</v>
      </c>
      <c r="F2" s="6"/>
      <c r="G2" s="6"/>
      <c r="H2" s="6"/>
      <c r="I2" s="6"/>
      <c r="J2" s="6"/>
      <c r="K2" s="6"/>
    </row>
    <row r="3">
      <c r="A3" s="7">
        <v>2.0</v>
      </c>
      <c r="B3" s="6" t="s">
        <v>139</v>
      </c>
      <c r="C3" s="6" t="s">
        <v>140</v>
      </c>
      <c r="D3" s="6" t="s">
        <v>141</v>
      </c>
      <c r="E3" s="6" t="s">
        <v>142</v>
      </c>
      <c r="F3" s="6"/>
      <c r="G3" s="6"/>
      <c r="H3" s="6"/>
      <c r="I3" s="6"/>
      <c r="J3" s="6"/>
      <c r="K3" s="6"/>
    </row>
    <row r="4">
      <c r="A4" s="7">
        <v>3.0</v>
      </c>
      <c r="B4" s="6" t="s">
        <v>143</v>
      </c>
      <c r="C4" s="6" t="s">
        <v>144</v>
      </c>
      <c r="D4" s="6" t="s">
        <v>145</v>
      </c>
      <c r="E4" s="6" t="s">
        <v>146</v>
      </c>
      <c r="F4" s="6"/>
      <c r="G4" s="6"/>
      <c r="H4" s="6"/>
      <c r="I4" s="6"/>
      <c r="J4" s="6"/>
      <c r="K4" s="6"/>
    </row>
    <row r="5">
      <c r="A5" s="7">
        <v>4.0</v>
      </c>
      <c r="B5" s="6" t="s">
        <v>147</v>
      </c>
      <c r="C5" s="6" t="s">
        <v>148</v>
      </c>
      <c r="D5" s="6" t="s">
        <v>149</v>
      </c>
      <c r="E5" s="6" t="s">
        <v>150</v>
      </c>
      <c r="F5" s="6"/>
      <c r="G5" s="6"/>
      <c r="H5" s="6"/>
      <c r="I5" s="6"/>
      <c r="J5" s="6"/>
      <c r="K5" s="6"/>
    </row>
    <row r="6">
      <c r="A6" s="7">
        <v>5.0</v>
      </c>
      <c r="B6" s="6" t="s">
        <v>151</v>
      </c>
      <c r="C6" s="6" t="s">
        <v>152</v>
      </c>
      <c r="D6" s="6" t="s">
        <v>145</v>
      </c>
      <c r="E6" s="6" t="s">
        <v>153</v>
      </c>
      <c r="F6" s="6"/>
      <c r="G6" s="6"/>
      <c r="H6" s="6"/>
      <c r="I6" s="6"/>
      <c r="J6" s="6"/>
      <c r="K6" s="6"/>
    </row>
    <row r="7">
      <c r="A7" s="7">
        <v>6.0</v>
      </c>
      <c r="B7" s="6" t="s">
        <v>154</v>
      </c>
      <c r="C7" s="6" t="s">
        <v>155</v>
      </c>
      <c r="D7" s="6" t="s">
        <v>156</v>
      </c>
      <c r="E7" s="6" t="s">
        <v>157</v>
      </c>
      <c r="F7" s="6"/>
      <c r="G7" s="6"/>
      <c r="H7" s="6"/>
      <c r="I7" s="6"/>
      <c r="J7" s="6"/>
      <c r="K7" s="6"/>
    </row>
    <row r="8">
      <c r="A8" s="7">
        <v>7.0</v>
      </c>
      <c r="B8" s="6" t="s">
        <v>158</v>
      </c>
      <c r="C8" s="6" t="s">
        <v>159</v>
      </c>
      <c r="D8" s="6" t="s">
        <v>160</v>
      </c>
      <c r="E8" s="6" t="s">
        <v>161</v>
      </c>
      <c r="F8" s="6"/>
      <c r="G8" s="6"/>
      <c r="H8" s="6"/>
      <c r="I8" s="6"/>
      <c r="J8" s="6"/>
      <c r="K8" s="6"/>
    </row>
    <row r="9">
      <c r="A9" s="7">
        <v>8.0</v>
      </c>
      <c r="B9" s="6" t="s">
        <v>162</v>
      </c>
      <c r="C9" s="6" t="s">
        <v>163</v>
      </c>
      <c r="D9" s="6" t="s">
        <v>164</v>
      </c>
      <c r="E9" s="6" t="s">
        <v>165</v>
      </c>
      <c r="F9" s="6"/>
      <c r="G9" s="6"/>
      <c r="H9" s="6"/>
      <c r="I9" s="6"/>
      <c r="J9" s="6"/>
      <c r="K9" s="6"/>
    </row>
    <row r="10">
      <c r="A10" s="7">
        <v>9.0</v>
      </c>
      <c r="B10" s="6" t="s">
        <v>166</v>
      </c>
      <c r="C10" s="6" t="s">
        <v>167</v>
      </c>
      <c r="D10" s="6" t="s">
        <v>145</v>
      </c>
      <c r="E10" s="6" t="s">
        <v>168</v>
      </c>
      <c r="F10" s="6"/>
      <c r="G10" s="6"/>
      <c r="H10" s="6"/>
      <c r="I10" s="6"/>
      <c r="J10" s="6"/>
      <c r="K10" s="6"/>
    </row>
    <row r="11">
      <c r="A11" s="7">
        <v>10.0</v>
      </c>
      <c r="B11" s="6" t="s">
        <v>169</v>
      </c>
      <c r="C11" s="6" t="s">
        <v>170</v>
      </c>
      <c r="D11" s="6" t="s">
        <v>171</v>
      </c>
      <c r="E11" s="6" t="s">
        <v>172</v>
      </c>
      <c r="F11" s="6"/>
      <c r="G11" s="6"/>
      <c r="H11" s="6"/>
      <c r="I11" s="6"/>
      <c r="J11" s="6"/>
      <c r="K11" s="6"/>
    </row>
    <row r="12">
      <c r="A12" s="7">
        <v>11.0</v>
      </c>
      <c r="B12" s="6" t="s">
        <v>173</v>
      </c>
      <c r="C12" s="6" t="s">
        <v>174</v>
      </c>
      <c r="D12" s="6" t="s">
        <v>175</v>
      </c>
      <c r="E12" s="6" t="s">
        <v>176</v>
      </c>
      <c r="F12" s="6"/>
      <c r="G12" s="6"/>
      <c r="H12" s="6"/>
      <c r="I12" s="6"/>
      <c r="J12" s="6"/>
      <c r="K12" s="6"/>
    </row>
    <row r="13">
      <c r="A13" s="7">
        <v>12.0</v>
      </c>
      <c r="B13" s="6" t="s">
        <v>177</v>
      </c>
      <c r="C13" s="6" t="s">
        <v>178</v>
      </c>
      <c r="D13" s="6" t="s">
        <v>179</v>
      </c>
      <c r="E13" s="6" t="s">
        <v>180</v>
      </c>
      <c r="F13" s="6"/>
      <c r="G13" s="6"/>
      <c r="H13" s="6"/>
      <c r="I13" s="6"/>
      <c r="J13" s="6"/>
      <c r="K13" s="6"/>
    </row>
    <row r="14">
      <c r="A14" s="7">
        <v>13.0</v>
      </c>
      <c r="B14" s="6" t="s">
        <v>181</v>
      </c>
      <c r="C14" s="6" t="s">
        <v>182</v>
      </c>
      <c r="D14" s="6" t="s">
        <v>183</v>
      </c>
      <c r="E14" s="6" t="s">
        <v>184</v>
      </c>
      <c r="F14" s="6"/>
      <c r="G14" s="6"/>
      <c r="H14" s="6"/>
      <c r="I14" s="6"/>
      <c r="J14" s="6"/>
      <c r="K14" s="6"/>
    </row>
    <row r="15">
      <c r="A15" s="7">
        <v>14.0</v>
      </c>
      <c r="B15" s="6" t="s">
        <v>185</v>
      </c>
      <c r="C15" s="6" t="s">
        <v>186</v>
      </c>
      <c r="D15" s="6" t="s">
        <v>187</v>
      </c>
      <c r="E15" s="6" t="s">
        <v>188</v>
      </c>
      <c r="F15" s="6"/>
      <c r="G15" s="6"/>
      <c r="H15" s="6"/>
      <c r="I15" s="6"/>
      <c r="J15" s="6"/>
      <c r="K15" s="6"/>
    </row>
    <row r="16">
      <c r="A16" s="7">
        <v>15.0</v>
      </c>
      <c r="B16" s="6" t="s">
        <v>189</v>
      </c>
      <c r="C16" s="6" t="s">
        <v>190</v>
      </c>
      <c r="D16" s="6" t="s">
        <v>191</v>
      </c>
      <c r="E16" s="6" t="s">
        <v>192</v>
      </c>
      <c r="F16" s="6"/>
      <c r="G16" s="6"/>
      <c r="H16" s="6"/>
      <c r="I16" s="6"/>
      <c r="J16" s="6"/>
      <c r="K16" s="6"/>
    </row>
    <row r="17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</row>
    <row r="18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</row>
    <row r="19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</row>
    <row r="20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</row>
    <row r="27" ht="15.75" customHeight="1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</row>
    <row r="28" ht="15.75" customHeight="1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</row>
    <row r="29" ht="15.75" customHeight="1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</row>
    <row r="30" ht="15.75" customHeight="1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</row>
    <row r="31" ht="15.75" customHeight="1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</row>
    <row r="32" ht="15.75" customHeight="1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</row>
    <row r="33" ht="15.75" customHeight="1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</row>
    <row r="34" ht="15.75" customHeight="1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</row>
    <row r="35" ht="15.75" customHeight="1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</row>
    <row r="36" ht="15.75" customHeight="1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</row>
    <row r="37" ht="15.75" customHeight="1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</row>
    <row r="38" ht="15.75" customHeight="1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</row>
    <row r="39" ht="15.75" customHeight="1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</row>
    <row r="40" ht="15.75" customHeight="1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</row>
    <row r="41" ht="15.75" customHeight="1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</row>
    <row r="42" ht="15.75" customHeight="1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</row>
    <row r="43" ht="15.75" customHeight="1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</row>
    <row r="44" ht="15.75" customHeight="1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</row>
    <row r="45" ht="15.75" customHeight="1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</row>
    <row r="46" ht="15.75" customHeight="1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</row>
    <row r="47" ht="15.75" customHeight="1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</row>
    <row r="48" ht="15.75" customHeight="1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</row>
    <row r="49" ht="15.75" customHeight="1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</row>
    <row r="50" ht="15.75" customHeight="1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</row>
    <row r="51" ht="15.75" customHeight="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</row>
    <row r="52" ht="15.75" customHeight="1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</row>
    <row r="53" ht="15.75" customHeight="1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</row>
    <row r="54" ht="15.75" customHeight="1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</row>
    <row r="55" ht="15.75" customHeight="1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</row>
    <row r="56" ht="15.75" customHeight="1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</row>
    <row r="57" ht="15.75" customHeight="1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</row>
    <row r="58" ht="15.75" customHeight="1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</row>
    <row r="59" ht="15.75" customHeight="1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</row>
    <row r="60" ht="15.75" customHeight="1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</row>
    <row r="61" ht="15.75" customHeight="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</row>
    <row r="62" ht="15.75" customHeight="1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</row>
    <row r="63" ht="15.75" customHeight="1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</row>
    <row r="64" ht="15.75" customHeight="1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</row>
    <row r="65" ht="15.75" customHeight="1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</row>
    <row r="66" ht="15.75" customHeight="1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</row>
    <row r="67" ht="15.75" customHeight="1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</row>
    <row r="68" ht="15.75" customHeight="1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</row>
    <row r="69" ht="15.75" customHeight="1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</row>
    <row r="70" ht="15.75" customHeight="1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</row>
    <row r="71" ht="15.75" customHeight="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</row>
    <row r="72" ht="15.75" customHeight="1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</row>
    <row r="73" ht="15.75" customHeight="1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</row>
    <row r="74" ht="15.75" customHeight="1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</row>
    <row r="75" ht="15.75" customHeight="1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</row>
    <row r="76" ht="15.75" customHeight="1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</row>
    <row r="77" ht="15.75" customHeight="1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</row>
    <row r="78" ht="15.75" customHeight="1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</row>
    <row r="79" ht="15.75" customHeight="1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</row>
    <row r="80" ht="15.75" customHeight="1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</row>
    <row r="81" ht="15.75" customHeight="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</row>
    <row r="82" ht="15.75" customHeight="1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</row>
    <row r="83" ht="15.75" customHeight="1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</row>
    <row r="84" ht="15.75" customHeight="1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</row>
    <row r="85" ht="15.75" customHeight="1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</row>
    <row r="86" ht="15.75" customHeight="1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</row>
    <row r="87" ht="15.75" customHeight="1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</row>
    <row r="88" ht="15.75" customHeight="1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</row>
    <row r="89" ht="15.75" customHeight="1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</row>
    <row r="90" ht="15.75" customHeight="1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</row>
    <row r="91" ht="15.75" customHeight="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</row>
    <row r="92" ht="15.75" customHeight="1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</row>
    <row r="93" ht="15.75" customHeight="1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</row>
    <row r="94" ht="15.75" customHeight="1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</row>
    <row r="95" ht="15.75" customHeight="1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</row>
    <row r="96" ht="15.75" customHeight="1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</row>
    <row r="97" ht="15.75" customHeight="1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</row>
    <row r="98" ht="15.75" customHeight="1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</row>
    <row r="99" ht="15.75" customHeight="1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</row>
    <row r="100" ht="15.75" customHeight="1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6" width="14.43"/>
  </cols>
  <sheetData>
    <row r="1">
      <c r="A1" s="6" t="s">
        <v>131</v>
      </c>
      <c r="B1" s="6" t="s">
        <v>132</v>
      </c>
      <c r="C1" s="6" t="s">
        <v>193</v>
      </c>
      <c r="D1" s="6" t="s">
        <v>194</v>
      </c>
      <c r="E1" s="6" t="s">
        <v>195</v>
      </c>
      <c r="F1" s="6" t="s">
        <v>196</v>
      </c>
      <c r="G1" s="6" t="s">
        <v>4</v>
      </c>
      <c r="H1" s="6"/>
      <c r="I1" s="6" t="s">
        <v>197</v>
      </c>
      <c r="J1" s="6"/>
      <c r="K1" s="6"/>
    </row>
    <row r="2">
      <c r="A2" s="6"/>
      <c r="B2" s="6"/>
      <c r="C2" s="6"/>
      <c r="D2" s="6"/>
      <c r="E2" s="6"/>
      <c r="F2" s="6"/>
      <c r="G2" s="6"/>
      <c r="H2" s="6"/>
      <c r="I2" s="6" t="s">
        <v>198</v>
      </c>
      <c r="J2" s="7">
        <v>0.5</v>
      </c>
      <c r="K2" s="6"/>
    </row>
    <row r="3">
      <c r="A3" s="6"/>
      <c r="B3" s="6"/>
      <c r="C3" s="6"/>
      <c r="D3" s="6"/>
      <c r="E3" s="6"/>
      <c r="F3" s="6"/>
      <c r="G3" s="6"/>
      <c r="H3" s="6"/>
      <c r="I3" s="6" t="s">
        <v>199</v>
      </c>
      <c r="J3" s="7">
        <v>9.81</v>
      </c>
      <c r="K3" s="6"/>
    </row>
    <row r="4">
      <c r="A4" s="6"/>
      <c r="B4" s="6"/>
      <c r="C4" s="6"/>
      <c r="D4" s="6"/>
      <c r="E4" s="6"/>
      <c r="F4" s="6"/>
      <c r="G4" s="6"/>
      <c r="H4" s="6"/>
      <c r="I4" s="6" t="s">
        <v>200</v>
      </c>
      <c r="J4" s="7">
        <v>0.4</v>
      </c>
      <c r="K4" s="6"/>
    </row>
    <row r="5">
      <c r="A5" s="6"/>
      <c r="B5" s="6"/>
      <c r="C5" s="6"/>
      <c r="D5" s="6"/>
      <c r="E5" s="6"/>
      <c r="F5" s="6"/>
      <c r="G5" s="6"/>
      <c r="H5" s="6"/>
      <c r="I5" s="6" t="s">
        <v>201</v>
      </c>
      <c r="J5" s="7">
        <v>0.03</v>
      </c>
      <c r="K5" s="6"/>
    </row>
    <row r="6">
      <c r="A6" s="6"/>
      <c r="B6" s="6"/>
      <c r="C6" s="6"/>
      <c r="D6" s="6"/>
      <c r="E6" s="6"/>
      <c r="F6" s="6"/>
      <c r="G6" s="6"/>
      <c r="H6" s="6"/>
      <c r="I6" s="6" t="s">
        <v>202</v>
      </c>
      <c r="J6" s="7">
        <v>20.0</v>
      </c>
      <c r="K6" s="6"/>
    </row>
    <row r="7">
      <c r="A7" s="6" t="s">
        <v>203</v>
      </c>
      <c r="B7" s="6" t="s">
        <v>204</v>
      </c>
      <c r="C7" s="7" t="str">
        <f>J2*J3</f>
        <v>4.905</v>
      </c>
      <c r="D7" s="6" t="s">
        <v>205</v>
      </c>
      <c r="E7" s="7" t="str">
        <f>J2*J3</f>
        <v>4.905</v>
      </c>
      <c r="F7" s="6" t="s">
        <v>206</v>
      </c>
      <c r="G7" s="6" t="s">
        <v>207</v>
      </c>
      <c r="H7" s="6"/>
      <c r="I7" s="6"/>
      <c r="J7" s="6"/>
      <c r="K7" s="6"/>
    </row>
    <row r="8">
      <c r="A8" s="6" t="s">
        <v>151</v>
      </c>
      <c r="B8" s="6" t="s">
        <v>208</v>
      </c>
      <c r="C8" s="7" t="str">
        <f>J4*J2*J3</f>
        <v>1.962</v>
      </c>
      <c r="D8" s="6" t="s">
        <v>209</v>
      </c>
      <c r="E8" s="7" t="str">
        <f>J4*J2*J3</f>
        <v>1.962</v>
      </c>
      <c r="F8" s="6" t="s">
        <v>206</v>
      </c>
      <c r="G8" s="6" t="s">
        <v>210</v>
      </c>
      <c r="H8" s="6"/>
      <c r="I8" s="6"/>
      <c r="J8" s="6"/>
      <c r="K8" s="6"/>
    </row>
    <row r="9">
      <c r="A9" s="6" t="s">
        <v>211</v>
      </c>
      <c r="B9" s="6" t="s">
        <v>212</v>
      </c>
      <c r="C9" s="7" t="str">
        <f>(J2*J3)*J5</f>
        <v>0.14715</v>
      </c>
      <c r="D9" s="6" t="s">
        <v>213</v>
      </c>
      <c r="E9" s="7" t="str">
        <f>(J2*J3)*J5</f>
        <v>0.14715</v>
      </c>
      <c r="F9" s="6" t="s">
        <v>214</v>
      </c>
      <c r="G9" s="6" t="s">
        <v>215</v>
      </c>
      <c r="H9" s="6"/>
      <c r="I9" s="6"/>
      <c r="J9" s="6"/>
      <c r="K9" s="6"/>
    </row>
    <row r="10">
      <c r="A10" s="6" t="s">
        <v>173</v>
      </c>
      <c r="B10" s="6" t="s">
        <v>216</v>
      </c>
      <c r="C10" s="7" t="str">
        <f>J2*J5*J6^2</f>
        <v>6</v>
      </c>
      <c r="D10" s="6" t="s">
        <v>217</v>
      </c>
      <c r="E10" s="7" t="str">
        <f>J2*J5*J6^2</f>
        <v>6</v>
      </c>
      <c r="F10" s="6" t="s">
        <v>206</v>
      </c>
      <c r="G10" s="6" t="s">
        <v>218</v>
      </c>
      <c r="H10" s="6"/>
      <c r="I10" s="6"/>
      <c r="J10" s="6"/>
      <c r="K10" s="6"/>
    </row>
    <row r="1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</row>
    <row r="12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</row>
    <row r="13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</row>
    <row r="14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</row>
    <row r="15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</row>
    <row r="16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</row>
    <row r="17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</row>
    <row r="18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</row>
    <row r="19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</row>
    <row r="20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</row>
    <row r="27" ht="15.75" customHeight="1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</row>
    <row r="28" ht="15.75" customHeight="1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</row>
    <row r="29" ht="15.75" customHeight="1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</row>
    <row r="30" ht="15.75" customHeight="1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</row>
    <row r="31" ht="15.75" customHeight="1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</row>
    <row r="32" ht="15.75" customHeight="1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</row>
    <row r="33" ht="15.75" customHeight="1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</row>
    <row r="34" ht="15.75" customHeight="1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</row>
    <row r="35" ht="15.75" customHeight="1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</row>
    <row r="36" ht="15.75" customHeight="1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</row>
    <row r="37" ht="15.75" customHeight="1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</row>
    <row r="38" ht="15.75" customHeight="1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</row>
    <row r="39" ht="15.75" customHeight="1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</row>
    <row r="40" ht="15.75" customHeight="1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</row>
    <row r="41" ht="15.75" customHeight="1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</row>
    <row r="42" ht="15.75" customHeight="1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</row>
    <row r="43" ht="15.75" customHeight="1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</row>
    <row r="44" ht="15.75" customHeight="1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</row>
    <row r="45" ht="15.75" customHeight="1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</row>
    <row r="46" ht="15.75" customHeight="1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</row>
    <row r="47" ht="15.75" customHeight="1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</row>
    <row r="48" ht="15.75" customHeight="1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</row>
    <row r="49" ht="15.75" customHeight="1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</row>
    <row r="50" ht="15.75" customHeight="1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</row>
    <row r="51" ht="15.75" customHeight="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</row>
    <row r="52" ht="15.75" customHeight="1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</row>
    <row r="53" ht="15.75" customHeight="1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</row>
    <row r="54" ht="15.75" customHeight="1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</row>
    <row r="55" ht="15.75" customHeight="1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</row>
    <row r="56" ht="15.75" customHeight="1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</row>
    <row r="57" ht="15.75" customHeight="1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</row>
    <row r="58" ht="15.75" customHeight="1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</row>
    <row r="59" ht="15.75" customHeight="1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</row>
    <row r="60" ht="15.75" customHeight="1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</row>
    <row r="61" ht="15.75" customHeight="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</row>
    <row r="62" ht="15.75" customHeight="1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</row>
    <row r="63" ht="15.75" customHeight="1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</row>
    <row r="64" ht="15.75" customHeight="1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</row>
    <row r="65" ht="15.75" customHeight="1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</row>
    <row r="66" ht="15.75" customHeight="1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</row>
    <row r="67" ht="15.75" customHeight="1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</row>
    <row r="68" ht="15.75" customHeight="1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</row>
    <row r="69" ht="15.75" customHeight="1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</row>
    <row r="70" ht="15.75" customHeight="1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</row>
    <row r="71" ht="15.75" customHeight="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</row>
    <row r="72" ht="15.75" customHeight="1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</row>
    <row r="73" ht="15.75" customHeight="1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</row>
    <row r="74" ht="15.75" customHeight="1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</row>
    <row r="75" ht="15.75" customHeight="1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</row>
    <row r="76" ht="15.75" customHeight="1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</row>
    <row r="77" ht="15.75" customHeight="1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</row>
    <row r="78" ht="15.75" customHeight="1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</row>
    <row r="79" ht="15.75" customHeight="1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</row>
    <row r="80" ht="15.75" customHeight="1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</row>
    <row r="81" ht="15.75" customHeight="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</row>
    <row r="82" ht="15.75" customHeight="1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</row>
    <row r="83" ht="15.75" customHeight="1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</row>
    <row r="84" ht="15.75" customHeight="1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</row>
    <row r="85" ht="15.75" customHeight="1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</row>
    <row r="86" ht="15.75" customHeight="1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</row>
    <row r="87" ht="15.75" customHeight="1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</row>
    <row r="88" ht="15.75" customHeight="1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</row>
    <row r="89" ht="15.75" customHeight="1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</row>
    <row r="90" ht="15.75" customHeight="1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</row>
    <row r="91" ht="15.75" customHeight="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</row>
    <row r="92" ht="15.75" customHeight="1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</row>
    <row r="93" ht="15.75" customHeight="1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</row>
    <row r="94" ht="15.75" customHeight="1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</row>
    <row r="95" ht="15.75" customHeight="1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</row>
    <row r="96" ht="15.75" customHeight="1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</row>
    <row r="97" ht="15.75" customHeight="1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</row>
    <row r="98" ht="15.75" customHeight="1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</row>
    <row r="99" ht="15.75" customHeight="1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</row>
    <row r="100" ht="15.75" customHeight="1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25.57"/>
    <col customWidth="1" min="2" max="2" width="8.71"/>
    <col customWidth="1" min="3" max="3" width="6.71"/>
    <col customWidth="1" min="4" max="4" width="6.43"/>
    <col customWidth="1" min="5" max="5" width="23.86"/>
    <col customWidth="1" min="6" max="6" width="39.71"/>
  </cols>
  <sheetData>
    <row r="1">
      <c r="A1" s="8" t="s">
        <v>219</v>
      </c>
      <c r="B1" s="8" t="s">
        <v>220</v>
      </c>
      <c r="C1" s="8" t="s">
        <v>2</v>
      </c>
      <c r="D1" s="8" t="s">
        <v>3</v>
      </c>
      <c r="E1" s="8" t="s">
        <v>221</v>
      </c>
      <c r="F1" s="8" t="s">
        <v>1</v>
      </c>
    </row>
    <row r="2">
      <c r="A2" s="6" t="s">
        <v>19</v>
      </c>
      <c r="B2" s="6" t="s">
        <v>222</v>
      </c>
      <c r="C2" s="7">
        <v>0.06</v>
      </c>
      <c r="D2" s="6" t="s">
        <v>223</v>
      </c>
      <c r="E2" s="6"/>
      <c r="F2" s="6" t="s">
        <v>224</v>
      </c>
    </row>
    <row r="3">
      <c r="A3" s="6" t="s">
        <v>225</v>
      </c>
      <c r="B3" s="6" t="s">
        <v>226</v>
      </c>
      <c r="C3" s="7">
        <v>0.016</v>
      </c>
      <c r="D3" s="6" t="s">
        <v>223</v>
      </c>
      <c r="E3" s="6"/>
      <c r="F3" s="6" t="s">
        <v>227</v>
      </c>
    </row>
    <row r="4">
      <c r="A4" s="6" t="s">
        <v>16</v>
      </c>
      <c r="B4" s="6" t="s">
        <v>228</v>
      </c>
      <c r="C4" s="7">
        <v>0.06</v>
      </c>
      <c r="D4" s="6" t="s">
        <v>223</v>
      </c>
      <c r="E4" s="6"/>
      <c r="F4" s="6" t="s">
        <v>229</v>
      </c>
    </row>
    <row r="5">
      <c r="A5" s="6" t="s">
        <v>230</v>
      </c>
      <c r="B5" s="6" t="s">
        <v>231</v>
      </c>
      <c r="C5" s="7">
        <v>4.5</v>
      </c>
      <c r="D5" s="6" t="s">
        <v>50</v>
      </c>
      <c r="E5" s="6"/>
      <c r="F5" s="6" t="s">
        <v>232</v>
      </c>
    </row>
    <row r="6">
      <c r="A6" s="6" t="s">
        <v>233</v>
      </c>
      <c r="B6" s="6" t="s">
        <v>234</v>
      </c>
      <c r="C6" s="7">
        <v>0.6</v>
      </c>
      <c r="D6" s="6" t="s">
        <v>50</v>
      </c>
      <c r="E6" s="6"/>
      <c r="F6" s="6" t="s">
        <v>235</v>
      </c>
    </row>
    <row r="7">
      <c r="A7" s="6" t="s">
        <v>236</v>
      </c>
      <c r="B7" s="6" t="s">
        <v>237</v>
      </c>
      <c r="C7" s="7">
        <v>1300.0</v>
      </c>
      <c r="D7" s="6" t="s">
        <v>238</v>
      </c>
      <c r="E7" s="6"/>
      <c r="F7" s="6" t="s">
        <v>239</v>
      </c>
    </row>
    <row r="8">
      <c r="A8" s="6" t="s">
        <v>240</v>
      </c>
      <c r="B8" s="6" t="s">
        <v>241</v>
      </c>
      <c r="C8" s="6"/>
      <c r="D8" s="6" t="s">
        <v>242</v>
      </c>
      <c r="E8" s="9" t="str">
        <f>PI()*(B2^2-B3^2)/4</f>
        <v>#VALUE!</v>
      </c>
      <c r="F8" s="6" t="s">
        <v>243</v>
      </c>
    </row>
    <row r="9">
      <c r="A9" s="6" t="s">
        <v>244</v>
      </c>
      <c r="B9" s="6" t="s">
        <v>245</v>
      </c>
      <c r="C9" s="6"/>
      <c r="D9" s="6" t="s">
        <v>246</v>
      </c>
      <c r="E9" s="9" t="str">
        <f>E8*B4</f>
        <v>#VALUE!</v>
      </c>
      <c r="F9" s="6" t="s">
        <v>247</v>
      </c>
    </row>
    <row r="10">
      <c r="A10" s="6" t="s">
        <v>248</v>
      </c>
      <c r="B10" s="6" t="s">
        <v>249</v>
      </c>
      <c r="C10" s="6"/>
      <c r="D10" s="6" t="s">
        <v>246</v>
      </c>
      <c r="E10" s="9" t="str">
        <f>E9*B6</f>
        <v>#VALUE!</v>
      </c>
      <c r="F10" s="6" t="s">
        <v>250</v>
      </c>
    </row>
    <row r="11">
      <c r="A11" s="6" t="s">
        <v>251</v>
      </c>
      <c r="B11" s="6" t="s">
        <v>252</v>
      </c>
      <c r="C11" s="6"/>
      <c r="D11" s="6" t="s">
        <v>246</v>
      </c>
      <c r="E11" s="9" t="str">
        <f>E10*B5</f>
        <v>#VALUE!</v>
      </c>
      <c r="F11" s="6" t="s">
        <v>253</v>
      </c>
    </row>
    <row r="12">
      <c r="A12" s="6" t="s">
        <v>254</v>
      </c>
      <c r="B12" s="6" t="s">
        <v>223</v>
      </c>
      <c r="C12" s="6"/>
      <c r="D12" s="6" t="s">
        <v>255</v>
      </c>
      <c r="E12" s="9" t="str">
        <f>E11*B7</f>
        <v>#VALUE!</v>
      </c>
      <c r="F12" s="6" t="s">
        <v>256</v>
      </c>
    </row>
    <row r="13">
      <c r="A13" s="6"/>
      <c r="B13" s="6"/>
      <c r="C13" s="6"/>
      <c r="D13" s="6"/>
      <c r="E13" s="6"/>
      <c r="F13" s="6"/>
    </row>
    <row r="14">
      <c r="A14" s="6"/>
      <c r="B14" s="6"/>
      <c r="C14" s="6"/>
      <c r="D14" s="6"/>
      <c r="E14" s="6"/>
      <c r="F14" s="6"/>
    </row>
    <row r="15">
      <c r="A15" s="6"/>
      <c r="B15" s="6"/>
      <c r="C15" s="6"/>
      <c r="D15" s="6"/>
      <c r="E15" s="6"/>
      <c r="F15" s="6"/>
    </row>
    <row r="16">
      <c r="A16" s="6"/>
      <c r="B16" s="6"/>
      <c r="C16" s="6"/>
      <c r="D16" s="6"/>
      <c r="E16" s="6"/>
      <c r="F16" s="6"/>
    </row>
    <row r="17">
      <c r="A17" s="6"/>
      <c r="B17" s="6"/>
      <c r="C17" s="6"/>
      <c r="D17" s="6"/>
      <c r="E17" s="6"/>
      <c r="F17" s="6"/>
    </row>
    <row r="18">
      <c r="A18" s="6"/>
      <c r="B18" s="6"/>
      <c r="C18" s="6"/>
      <c r="D18" s="6"/>
      <c r="E18" s="6"/>
      <c r="F18" s="6"/>
    </row>
    <row r="19">
      <c r="A19" s="6"/>
      <c r="B19" s="6"/>
      <c r="C19" s="6"/>
      <c r="D19" s="6"/>
      <c r="E19" s="6"/>
      <c r="F19" s="6"/>
    </row>
    <row r="20">
      <c r="A20" s="6"/>
      <c r="B20" s="6"/>
      <c r="C20" s="6"/>
      <c r="D20" s="6"/>
      <c r="E20" s="6"/>
      <c r="F20" s="6"/>
    </row>
    <row r="21" ht="15.75" customHeight="1">
      <c r="A21" s="6"/>
      <c r="B21" s="6"/>
      <c r="C21" s="6"/>
      <c r="D21" s="6"/>
      <c r="E21" s="6"/>
      <c r="F21" s="6"/>
    </row>
    <row r="22" ht="15.75" customHeight="1">
      <c r="A22" s="6"/>
      <c r="B22" s="6"/>
      <c r="C22" s="6"/>
      <c r="D22" s="6"/>
      <c r="E22" s="6"/>
      <c r="F22" s="6"/>
    </row>
    <row r="23" ht="15.75" customHeight="1">
      <c r="A23" s="6"/>
      <c r="B23" s="6"/>
      <c r="C23" s="6"/>
      <c r="D23" s="6"/>
      <c r="E23" s="6"/>
      <c r="F23" s="6"/>
    </row>
    <row r="24" ht="15.75" customHeight="1">
      <c r="A24" s="6"/>
      <c r="B24" s="6"/>
      <c r="C24" s="6"/>
      <c r="D24" s="6"/>
      <c r="E24" s="6"/>
      <c r="F24" s="6"/>
    </row>
    <row r="25" ht="15.75" customHeight="1">
      <c r="A25" s="6"/>
      <c r="B25" s="6"/>
      <c r="C25" s="6"/>
      <c r="D25" s="6"/>
      <c r="E25" s="6"/>
      <c r="F25" s="6"/>
    </row>
    <row r="26" ht="15.75" customHeight="1">
      <c r="A26" s="6"/>
      <c r="B26" s="6"/>
      <c r="C26" s="6"/>
      <c r="D26" s="6"/>
      <c r="E26" s="6"/>
      <c r="F26" s="6"/>
    </row>
    <row r="27" ht="15.75" customHeight="1">
      <c r="A27" s="6"/>
      <c r="B27" s="6"/>
      <c r="C27" s="6"/>
      <c r="D27" s="6"/>
      <c r="E27" s="6"/>
      <c r="F27" s="6"/>
    </row>
    <row r="28" ht="15.75" customHeight="1">
      <c r="A28" s="6"/>
      <c r="B28" s="6"/>
      <c r="C28" s="6"/>
      <c r="D28" s="6"/>
      <c r="E28" s="6"/>
      <c r="F28" s="6"/>
    </row>
    <row r="29" ht="15.75" customHeight="1">
      <c r="A29" s="6"/>
      <c r="B29" s="6"/>
      <c r="C29" s="6"/>
      <c r="D29" s="6"/>
      <c r="E29" s="6"/>
      <c r="F29" s="6"/>
    </row>
    <row r="30" ht="15.75" customHeight="1">
      <c r="A30" s="6"/>
      <c r="B30" s="6"/>
      <c r="C30" s="6"/>
      <c r="D30" s="6"/>
      <c r="E30" s="6"/>
      <c r="F30" s="6"/>
    </row>
    <row r="31" ht="15.75" customHeight="1">
      <c r="A31" s="6"/>
      <c r="B31" s="6"/>
      <c r="C31" s="6"/>
      <c r="D31" s="6"/>
      <c r="E31" s="6"/>
      <c r="F31" s="6"/>
    </row>
    <row r="32" ht="15.75" customHeight="1">
      <c r="A32" s="6"/>
      <c r="B32" s="6"/>
      <c r="C32" s="6"/>
      <c r="D32" s="6"/>
      <c r="E32" s="6"/>
      <c r="F32" s="6"/>
    </row>
    <row r="33" ht="15.75" customHeight="1">
      <c r="A33" s="6"/>
      <c r="B33" s="6"/>
      <c r="C33" s="6"/>
      <c r="D33" s="6"/>
      <c r="E33" s="6"/>
      <c r="F33" s="6"/>
    </row>
    <row r="34" ht="15.75" customHeight="1">
      <c r="A34" s="6"/>
      <c r="B34" s="6"/>
      <c r="C34" s="6"/>
      <c r="D34" s="6"/>
      <c r="E34" s="6"/>
      <c r="F34" s="6"/>
    </row>
    <row r="35" ht="15.75" customHeight="1">
      <c r="A35" s="6"/>
      <c r="B35" s="6"/>
      <c r="C35" s="6"/>
      <c r="D35" s="6"/>
      <c r="E35" s="6"/>
      <c r="F35" s="6"/>
    </row>
    <row r="36" ht="15.75" customHeight="1">
      <c r="A36" s="6"/>
      <c r="B36" s="6"/>
      <c r="C36" s="6"/>
      <c r="D36" s="6"/>
      <c r="E36" s="6"/>
      <c r="F36" s="6"/>
    </row>
    <row r="37" ht="15.75" customHeight="1">
      <c r="A37" s="6"/>
      <c r="B37" s="6"/>
      <c r="C37" s="6"/>
      <c r="D37" s="6"/>
      <c r="E37" s="6"/>
      <c r="F37" s="6"/>
    </row>
    <row r="38" ht="15.75" customHeight="1">
      <c r="A38" s="6"/>
      <c r="B38" s="6"/>
      <c r="C38" s="6"/>
      <c r="D38" s="6"/>
      <c r="E38" s="6"/>
      <c r="F38" s="6"/>
    </row>
    <row r="39" ht="15.75" customHeight="1">
      <c r="A39" s="6"/>
      <c r="B39" s="6"/>
      <c r="C39" s="6"/>
      <c r="D39" s="6"/>
      <c r="E39" s="6"/>
      <c r="F39" s="6"/>
    </row>
    <row r="40" ht="15.75" customHeight="1">
      <c r="A40" s="6"/>
      <c r="B40" s="6"/>
      <c r="C40" s="6"/>
      <c r="D40" s="6"/>
      <c r="E40" s="6"/>
      <c r="F40" s="6"/>
    </row>
    <row r="41" ht="15.75" customHeight="1">
      <c r="A41" s="6"/>
      <c r="B41" s="6"/>
      <c r="C41" s="6"/>
      <c r="D41" s="6"/>
      <c r="E41" s="6"/>
      <c r="F41" s="6"/>
    </row>
    <row r="42" ht="15.75" customHeight="1">
      <c r="A42" s="6"/>
      <c r="B42" s="6"/>
      <c r="C42" s="6"/>
      <c r="D42" s="6"/>
      <c r="E42" s="6"/>
      <c r="F42" s="6"/>
    </row>
    <row r="43" ht="15.75" customHeight="1">
      <c r="A43" s="6"/>
      <c r="B43" s="6"/>
      <c r="C43" s="6"/>
      <c r="D43" s="6"/>
      <c r="E43" s="6"/>
      <c r="F43" s="6"/>
    </row>
    <row r="44" ht="15.75" customHeight="1">
      <c r="A44" s="6"/>
      <c r="B44" s="6"/>
      <c r="C44" s="6"/>
      <c r="D44" s="6"/>
      <c r="E44" s="6"/>
      <c r="F44" s="6"/>
    </row>
    <row r="45" ht="15.75" customHeight="1">
      <c r="A45" s="6"/>
      <c r="B45" s="6"/>
      <c r="C45" s="6"/>
      <c r="D45" s="6"/>
      <c r="E45" s="6"/>
      <c r="F45" s="6"/>
    </row>
    <row r="46" ht="15.75" customHeight="1">
      <c r="A46" s="6"/>
      <c r="B46" s="6"/>
      <c r="C46" s="6"/>
      <c r="D46" s="6"/>
      <c r="E46" s="6"/>
      <c r="F46" s="6"/>
    </row>
    <row r="47" ht="15.75" customHeight="1">
      <c r="A47" s="6"/>
      <c r="B47" s="6"/>
      <c r="C47" s="6"/>
      <c r="D47" s="6"/>
      <c r="E47" s="6"/>
      <c r="F47" s="6"/>
    </row>
    <row r="48" ht="15.75" customHeight="1">
      <c r="A48" s="6"/>
      <c r="B48" s="6"/>
      <c r="C48" s="6"/>
      <c r="D48" s="6"/>
      <c r="E48" s="6"/>
      <c r="F48" s="6"/>
    </row>
    <row r="49" ht="15.75" customHeight="1">
      <c r="A49" s="6"/>
      <c r="B49" s="6"/>
      <c r="C49" s="6"/>
      <c r="D49" s="6"/>
      <c r="E49" s="6"/>
      <c r="F49" s="6"/>
    </row>
    <row r="50" ht="15.75" customHeight="1">
      <c r="A50" s="6"/>
      <c r="B50" s="6"/>
      <c r="C50" s="6"/>
      <c r="D50" s="6"/>
      <c r="E50" s="6"/>
      <c r="F50" s="6"/>
    </row>
    <row r="51" ht="15.75" customHeight="1">
      <c r="A51" s="6"/>
      <c r="B51" s="6"/>
      <c r="C51" s="6"/>
      <c r="D51" s="6"/>
      <c r="E51" s="6"/>
      <c r="F51" s="6"/>
    </row>
    <row r="52" ht="15.75" customHeight="1">
      <c r="A52" s="6"/>
      <c r="B52" s="6"/>
      <c r="C52" s="6"/>
      <c r="D52" s="6"/>
      <c r="E52" s="6"/>
      <c r="F52" s="6"/>
    </row>
    <row r="53" ht="15.75" customHeight="1">
      <c r="A53" s="6"/>
      <c r="B53" s="6"/>
      <c r="C53" s="6"/>
      <c r="D53" s="6"/>
      <c r="E53" s="6"/>
      <c r="F53" s="6"/>
    </row>
    <row r="54" ht="15.75" customHeight="1">
      <c r="A54" s="6"/>
      <c r="B54" s="6"/>
      <c r="C54" s="6"/>
      <c r="D54" s="6"/>
      <c r="E54" s="6"/>
      <c r="F54" s="6"/>
    </row>
    <row r="55" ht="15.75" customHeight="1">
      <c r="A55" s="6"/>
      <c r="B55" s="6"/>
      <c r="C55" s="6"/>
      <c r="D55" s="6"/>
      <c r="E55" s="6"/>
      <c r="F55" s="6"/>
    </row>
    <row r="56" ht="15.75" customHeight="1">
      <c r="A56" s="6"/>
      <c r="B56" s="6"/>
      <c r="C56" s="6"/>
      <c r="D56" s="6"/>
      <c r="E56" s="6"/>
      <c r="F56" s="6"/>
    </row>
    <row r="57" ht="15.75" customHeight="1">
      <c r="A57" s="6"/>
      <c r="B57" s="6"/>
      <c r="C57" s="6"/>
      <c r="D57" s="6"/>
      <c r="E57" s="6"/>
      <c r="F57" s="6"/>
    </row>
    <row r="58" ht="15.75" customHeight="1">
      <c r="A58" s="6"/>
      <c r="B58" s="6"/>
      <c r="C58" s="6"/>
      <c r="D58" s="6"/>
      <c r="E58" s="6"/>
      <c r="F58" s="6"/>
    </row>
    <row r="59" ht="15.75" customHeight="1">
      <c r="A59" s="6"/>
      <c r="B59" s="6"/>
      <c r="C59" s="6"/>
      <c r="D59" s="6"/>
      <c r="E59" s="6"/>
      <c r="F59" s="6"/>
    </row>
    <row r="60" ht="15.75" customHeight="1">
      <c r="A60" s="6"/>
      <c r="B60" s="6"/>
      <c r="C60" s="6"/>
      <c r="D60" s="6"/>
      <c r="E60" s="6"/>
      <c r="F60" s="6"/>
    </row>
    <row r="61" ht="15.75" customHeight="1">
      <c r="A61" s="6"/>
      <c r="B61" s="6"/>
      <c r="C61" s="6"/>
      <c r="D61" s="6"/>
      <c r="E61" s="6"/>
      <c r="F61" s="6"/>
    </row>
    <row r="62" ht="15.75" customHeight="1">
      <c r="A62" s="6"/>
      <c r="B62" s="6"/>
      <c r="C62" s="6"/>
      <c r="D62" s="6"/>
      <c r="E62" s="6"/>
      <c r="F62" s="6"/>
    </row>
    <row r="63" ht="15.75" customHeight="1">
      <c r="A63" s="6"/>
      <c r="B63" s="6"/>
      <c r="C63" s="6"/>
      <c r="D63" s="6"/>
      <c r="E63" s="6"/>
      <c r="F63" s="6"/>
    </row>
    <row r="64" ht="15.75" customHeight="1">
      <c r="A64" s="6"/>
      <c r="B64" s="6"/>
      <c r="C64" s="6"/>
      <c r="D64" s="6"/>
      <c r="E64" s="6"/>
      <c r="F64" s="6"/>
    </row>
    <row r="65" ht="15.75" customHeight="1">
      <c r="A65" s="6"/>
      <c r="B65" s="6"/>
      <c r="C65" s="6"/>
      <c r="D65" s="6"/>
      <c r="E65" s="6"/>
      <c r="F65" s="6"/>
    </row>
    <row r="66" ht="15.75" customHeight="1">
      <c r="A66" s="6"/>
      <c r="B66" s="6"/>
      <c r="C66" s="6"/>
      <c r="D66" s="6"/>
      <c r="E66" s="6"/>
      <c r="F66" s="6"/>
    </row>
    <row r="67" ht="15.75" customHeight="1">
      <c r="A67" s="6"/>
      <c r="B67" s="6"/>
      <c r="C67" s="6"/>
      <c r="D67" s="6"/>
      <c r="E67" s="6"/>
      <c r="F67" s="6"/>
    </row>
    <row r="68" ht="15.75" customHeight="1">
      <c r="A68" s="6"/>
      <c r="B68" s="6"/>
      <c r="C68" s="6"/>
      <c r="D68" s="6"/>
      <c r="E68" s="6"/>
      <c r="F68" s="6"/>
    </row>
    <row r="69" ht="15.75" customHeight="1">
      <c r="A69" s="6"/>
      <c r="B69" s="6"/>
      <c r="C69" s="6"/>
      <c r="D69" s="6"/>
      <c r="E69" s="6"/>
      <c r="F69" s="6"/>
    </row>
    <row r="70" ht="15.75" customHeight="1">
      <c r="A70" s="6"/>
      <c r="B70" s="6"/>
      <c r="C70" s="6"/>
      <c r="D70" s="6"/>
      <c r="E70" s="6"/>
      <c r="F70" s="6"/>
    </row>
    <row r="71" ht="15.75" customHeight="1">
      <c r="A71" s="6"/>
      <c r="B71" s="6"/>
      <c r="C71" s="6"/>
      <c r="D71" s="6"/>
      <c r="E71" s="6"/>
      <c r="F71" s="6"/>
    </row>
    <row r="72" ht="15.75" customHeight="1">
      <c r="A72" s="6"/>
      <c r="B72" s="6"/>
      <c r="C72" s="6"/>
      <c r="D72" s="6"/>
      <c r="E72" s="6"/>
      <c r="F72" s="6"/>
    </row>
    <row r="73" ht="15.75" customHeight="1">
      <c r="A73" s="6"/>
      <c r="B73" s="6"/>
      <c r="C73" s="6"/>
      <c r="D73" s="6"/>
      <c r="E73" s="6"/>
      <c r="F73" s="6"/>
    </row>
    <row r="74" ht="15.75" customHeight="1">
      <c r="A74" s="6"/>
      <c r="B74" s="6"/>
      <c r="C74" s="6"/>
      <c r="D74" s="6"/>
      <c r="E74" s="6"/>
      <c r="F74" s="6"/>
    </row>
    <row r="75" ht="15.75" customHeight="1">
      <c r="A75" s="6"/>
      <c r="B75" s="6"/>
      <c r="C75" s="6"/>
      <c r="D75" s="6"/>
      <c r="E75" s="6"/>
      <c r="F75" s="6"/>
    </row>
    <row r="76" ht="15.75" customHeight="1">
      <c r="A76" s="6"/>
      <c r="B76" s="6"/>
      <c r="C76" s="6"/>
      <c r="D76" s="6"/>
      <c r="E76" s="6"/>
      <c r="F76" s="6"/>
    </row>
    <row r="77" ht="15.75" customHeight="1">
      <c r="A77" s="6"/>
      <c r="B77" s="6"/>
      <c r="C77" s="6"/>
      <c r="D77" s="6"/>
      <c r="E77" s="6"/>
      <c r="F77" s="6"/>
    </row>
    <row r="78" ht="15.75" customHeight="1">
      <c r="A78" s="6"/>
      <c r="B78" s="6"/>
      <c r="C78" s="6"/>
      <c r="D78" s="6"/>
      <c r="E78" s="6"/>
      <c r="F78" s="6"/>
    </row>
    <row r="79" ht="15.75" customHeight="1">
      <c r="A79" s="6"/>
      <c r="B79" s="6"/>
      <c r="C79" s="6"/>
      <c r="D79" s="6"/>
      <c r="E79" s="6"/>
      <c r="F79" s="6"/>
    </row>
    <row r="80" ht="15.75" customHeight="1">
      <c r="A80" s="6"/>
      <c r="B80" s="6"/>
      <c r="C80" s="6"/>
      <c r="D80" s="6"/>
      <c r="E80" s="6"/>
      <c r="F80" s="6"/>
    </row>
    <row r="81" ht="15.75" customHeight="1">
      <c r="A81" s="6"/>
      <c r="B81" s="6"/>
      <c r="C81" s="6"/>
      <c r="D81" s="6"/>
      <c r="E81" s="6"/>
      <c r="F81" s="6"/>
    </row>
    <row r="82" ht="15.75" customHeight="1">
      <c r="A82" s="6"/>
      <c r="B82" s="6"/>
      <c r="C82" s="6"/>
      <c r="D82" s="6"/>
      <c r="E82" s="6"/>
      <c r="F82" s="6"/>
    </row>
    <row r="83" ht="15.75" customHeight="1">
      <c r="A83" s="6"/>
      <c r="B83" s="6"/>
      <c r="C83" s="6"/>
      <c r="D83" s="6"/>
      <c r="E83" s="6"/>
      <c r="F83" s="6"/>
    </row>
    <row r="84" ht="15.75" customHeight="1">
      <c r="A84" s="6"/>
      <c r="B84" s="6"/>
      <c r="C84" s="6"/>
      <c r="D84" s="6"/>
      <c r="E84" s="6"/>
      <c r="F84" s="6"/>
    </row>
    <row r="85" ht="15.75" customHeight="1">
      <c r="A85" s="6"/>
      <c r="B85" s="6"/>
      <c r="C85" s="6"/>
      <c r="D85" s="6"/>
      <c r="E85" s="6"/>
      <c r="F85" s="6"/>
    </row>
    <row r="86" ht="15.75" customHeight="1">
      <c r="A86" s="6"/>
      <c r="B86" s="6"/>
      <c r="C86" s="6"/>
      <c r="D86" s="6"/>
      <c r="E86" s="6"/>
      <c r="F86" s="6"/>
    </row>
    <row r="87" ht="15.75" customHeight="1">
      <c r="A87" s="6"/>
      <c r="B87" s="6"/>
      <c r="C87" s="6"/>
      <c r="D87" s="6"/>
      <c r="E87" s="6"/>
      <c r="F87" s="6"/>
    </row>
    <row r="88" ht="15.75" customHeight="1">
      <c r="A88" s="6"/>
      <c r="B88" s="6"/>
      <c r="C88" s="6"/>
      <c r="D88" s="6"/>
      <c r="E88" s="6"/>
      <c r="F88" s="6"/>
    </row>
    <row r="89" ht="15.75" customHeight="1">
      <c r="A89" s="6"/>
      <c r="B89" s="6"/>
      <c r="C89" s="6"/>
      <c r="D89" s="6"/>
      <c r="E89" s="6"/>
      <c r="F89" s="6"/>
    </row>
    <row r="90" ht="15.75" customHeight="1">
      <c r="A90" s="6"/>
      <c r="B90" s="6"/>
      <c r="C90" s="6"/>
      <c r="D90" s="6"/>
      <c r="E90" s="6"/>
      <c r="F90" s="6"/>
    </row>
    <row r="91" ht="15.75" customHeight="1">
      <c r="A91" s="6"/>
      <c r="B91" s="6"/>
      <c r="C91" s="6"/>
      <c r="D91" s="6"/>
      <c r="E91" s="6"/>
      <c r="F91" s="6"/>
    </row>
    <row r="92" ht="15.75" customHeight="1">
      <c r="A92" s="6"/>
      <c r="B92" s="6"/>
      <c r="C92" s="6"/>
      <c r="D92" s="6"/>
      <c r="E92" s="6"/>
      <c r="F92" s="6"/>
    </row>
    <row r="93" ht="15.75" customHeight="1">
      <c r="A93" s="6"/>
      <c r="B93" s="6"/>
      <c r="C93" s="6"/>
      <c r="D93" s="6"/>
      <c r="E93" s="6"/>
      <c r="F93" s="6"/>
    </row>
    <row r="94" ht="15.75" customHeight="1">
      <c r="A94" s="6"/>
      <c r="B94" s="6"/>
      <c r="C94" s="6"/>
      <c r="D94" s="6"/>
      <c r="E94" s="6"/>
      <c r="F94" s="6"/>
    </row>
    <row r="95" ht="15.75" customHeight="1">
      <c r="A95" s="6"/>
      <c r="B95" s="6"/>
      <c r="C95" s="6"/>
      <c r="D95" s="6"/>
      <c r="E95" s="6"/>
      <c r="F95" s="6"/>
    </row>
    <row r="96" ht="15.75" customHeight="1">
      <c r="A96" s="6"/>
      <c r="B96" s="6"/>
      <c r="C96" s="6"/>
      <c r="D96" s="6"/>
      <c r="E96" s="6"/>
      <c r="F96" s="6"/>
    </row>
    <row r="97" ht="15.75" customHeight="1">
      <c r="A97" s="6"/>
      <c r="B97" s="6"/>
      <c r="C97" s="6"/>
      <c r="D97" s="6"/>
      <c r="E97" s="6"/>
      <c r="F97" s="6"/>
    </row>
    <row r="98" ht="15.75" customHeight="1">
      <c r="A98" s="6"/>
      <c r="B98" s="6"/>
      <c r="C98" s="6"/>
      <c r="D98" s="6"/>
      <c r="E98" s="6"/>
      <c r="F98" s="6"/>
    </row>
    <row r="99" ht="15.75" customHeight="1">
      <c r="A99" s="6"/>
      <c r="B99" s="6"/>
      <c r="C99" s="6"/>
      <c r="D99" s="6"/>
      <c r="E99" s="6"/>
      <c r="F99" s="6"/>
    </row>
    <row r="100" ht="15.75" customHeight="1">
      <c r="A100" s="6"/>
      <c r="B100" s="6"/>
      <c r="C100" s="6"/>
      <c r="D100" s="6"/>
      <c r="E100" s="6"/>
      <c r="F100" s="6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4.43"/>
    <col customWidth="1" min="2" max="2" width="22.29"/>
    <col customWidth="1" min="3" max="3" width="25.86"/>
    <col customWidth="1" min="4" max="4" width="37.29"/>
    <col customWidth="1" min="5" max="5" width="38.0"/>
    <col customWidth="1" min="6" max="6" width="41.14"/>
    <col customWidth="1" min="7" max="7" width="40.86"/>
  </cols>
  <sheetData>
    <row r="1">
      <c r="A1" s="6" t="s">
        <v>130</v>
      </c>
      <c r="B1" s="6" t="s">
        <v>257</v>
      </c>
      <c r="C1" s="6" t="s">
        <v>132</v>
      </c>
      <c r="D1" s="6" t="s">
        <v>258</v>
      </c>
      <c r="E1" s="6" t="s">
        <v>259</v>
      </c>
      <c r="F1" s="6" t="s">
        <v>260</v>
      </c>
      <c r="G1" s="1" t="s">
        <v>261</v>
      </c>
    </row>
    <row r="2">
      <c r="A2" s="7">
        <v>1.0</v>
      </c>
      <c r="B2" s="6" t="s">
        <v>262</v>
      </c>
      <c r="C2" s="6" t="s">
        <v>263</v>
      </c>
      <c r="D2" s="10" t="s">
        <v>264</v>
      </c>
      <c r="E2" s="6" t="s">
        <v>265</v>
      </c>
      <c r="F2" s="6" t="s">
        <v>266</v>
      </c>
      <c r="G2" s="11" t="s">
        <v>267</v>
      </c>
    </row>
    <row r="3">
      <c r="A3" s="7">
        <v>2.0</v>
      </c>
      <c r="B3" s="6" t="s">
        <v>268</v>
      </c>
      <c r="C3" s="6" t="s">
        <v>269</v>
      </c>
      <c r="D3" s="10" t="s">
        <v>270</v>
      </c>
      <c r="E3" s="6" t="s">
        <v>271</v>
      </c>
      <c r="F3" s="6" t="s">
        <v>272</v>
      </c>
      <c r="G3" s="11" t="s">
        <v>273</v>
      </c>
    </row>
    <row r="4">
      <c r="A4" s="7">
        <v>3.0</v>
      </c>
      <c r="B4" s="6" t="s">
        <v>274</v>
      </c>
      <c r="C4" s="6" t="s">
        <v>275</v>
      </c>
      <c r="D4" s="10" t="s">
        <v>276</v>
      </c>
      <c r="E4" s="6" t="s">
        <v>277</v>
      </c>
      <c r="F4" s="6" t="s">
        <v>278</v>
      </c>
      <c r="G4" s="11" t="s">
        <v>279</v>
      </c>
    </row>
    <row r="5">
      <c r="A5" s="7">
        <v>4.0</v>
      </c>
      <c r="B5" s="6" t="s">
        <v>280</v>
      </c>
      <c r="C5" s="6" t="s">
        <v>281</v>
      </c>
      <c r="D5" s="10" t="s">
        <v>282</v>
      </c>
      <c r="E5" s="6" t="s">
        <v>283</v>
      </c>
      <c r="F5" s="6" t="s">
        <v>284</v>
      </c>
      <c r="G5" s="11" t="s">
        <v>285</v>
      </c>
    </row>
    <row r="6">
      <c r="A6" s="7">
        <v>5.0</v>
      </c>
      <c r="B6" s="6" t="s">
        <v>286</v>
      </c>
      <c r="C6" s="6" t="s">
        <v>287</v>
      </c>
      <c r="D6" s="10" t="s">
        <v>288</v>
      </c>
      <c r="E6" s="6" t="s">
        <v>289</v>
      </c>
      <c r="F6" s="6" t="s">
        <v>290</v>
      </c>
      <c r="G6" s="11" t="s">
        <v>291</v>
      </c>
    </row>
    <row r="7">
      <c r="A7" s="7">
        <v>6.0</v>
      </c>
      <c r="B7" s="6" t="s">
        <v>292</v>
      </c>
      <c r="C7" s="6" t="s">
        <v>293</v>
      </c>
      <c r="D7" s="10" t="s">
        <v>294</v>
      </c>
      <c r="E7" s="6" t="s">
        <v>295</v>
      </c>
      <c r="F7" s="6" t="s">
        <v>296</v>
      </c>
      <c r="G7" s="11" t="s">
        <v>297</v>
      </c>
    </row>
    <row r="8">
      <c r="A8" s="7">
        <v>7.0</v>
      </c>
      <c r="B8" s="6" t="s">
        <v>298</v>
      </c>
      <c r="C8" s="6" t="s">
        <v>299</v>
      </c>
      <c r="D8" s="10" t="s">
        <v>300</v>
      </c>
      <c r="E8" s="6" t="s">
        <v>301</v>
      </c>
      <c r="F8" s="6" t="s">
        <v>302</v>
      </c>
      <c r="G8" s="11" t="s">
        <v>303</v>
      </c>
    </row>
    <row r="9">
      <c r="A9" s="7">
        <v>8.0</v>
      </c>
      <c r="B9" s="6" t="s">
        <v>304</v>
      </c>
      <c r="C9" s="6" t="s">
        <v>305</v>
      </c>
      <c r="D9" s="10" t="s">
        <v>306</v>
      </c>
      <c r="E9" s="6" t="s">
        <v>307</v>
      </c>
      <c r="F9" s="6" t="s">
        <v>308</v>
      </c>
      <c r="G9" s="11" t="s">
        <v>309</v>
      </c>
    </row>
    <row r="10">
      <c r="A10" s="7">
        <v>9.0</v>
      </c>
      <c r="B10" s="6" t="s">
        <v>310</v>
      </c>
      <c r="C10" s="6" t="s">
        <v>311</v>
      </c>
      <c r="D10" s="10" t="s">
        <v>312</v>
      </c>
      <c r="E10" s="6" t="s">
        <v>50</v>
      </c>
      <c r="F10" s="6" t="s">
        <v>313</v>
      </c>
      <c r="G10" s="11" t="s">
        <v>314</v>
      </c>
    </row>
    <row r="11">
      <c r="A11" s="7">
        <v>10.0</v>
      </c>
      <c r="B11" s="6" t="s">
        <v>315</v>
      </c>
      <c r="C11" s="6" t="s">
        <v>316</v>
      </c>
      <c r="D11" s="10" t="s">
        <v>317</v>
      </c>
      <c r="E11" s="6" t="s">
        <v>318</v>
      </c>
      <c r="F11" s="6" t="s">
        <v>319</v>
      </c>
      <c r="G11" s="11" t="s">
        <v>320</v>
      </c>
    </row>
    <row r="12">
      <c r="A12" s="7">
        <v>11.0</v>
      </c>
      <c r="B12" s="6" t="s">
        <v>321</v>
      </c>
      <c r="C12" s="6" t="s">
        <v>322</v>
      </c>
      <c r="D12" s="10" t="s">
        <v>323</v>
      </c>
      <c r="E12" s="6" t="s">
        <v>324</v>
      </c>
      <c r="F12" s="6" t="s">
        <v>325</v>
      </c>
      <c r="G12" s="11" t="s">
        <v>326</v>
      </c>
    </row>
    <row r="13">
      <c r="A13" s="7">
        <v>12.0</v>
      </c>
      <c r="B13" s="6" t="s">
        <v>327</v>
      </c>
      <c r="C13" s="6" t="s">
        <v>328</v>
      </c>
      <c r="D13" s="10" t="s">
        <v>329</v>
      </c>
      <c r="E13" s="6" t="s">
        <v>301</v>
      </c>
      <c r="F13" s="6" t="s">
        <v>330</v>
      </c>
      <c r="G13" s="11" t="s">
        <v>331</v>
      </c>
    </row>
    <row r="14">
      <c r="A14" s="7">
        <v>13.0</v>
      </c>
      <c r="B14" s="6" t="s">
        <v>332</v>
      </c>
      <c r="C14" s="6" t="s">
        <v>333</v>
      </c>
      <c r="D14" s="10" t="s">
        <v>334</v>
      </c>
      <c r="E14" s="6" t="s">
        <v>335</v>
      </c>
      <c r="F14" s="6" t="s">
        <v>336</v>
      </c>
      <c r="G14" s="11" t="s">
        <v>337</v>
      </c>
    </row>
    <row r="15">
      <c r="A15" s="7">
        <v>14.0</v>
      </c>
      <c r="B15" s="6" t="s">
        <v>338</v>
      </c>
      <c r="C15" s="6" t="s">
        <v>339</v>
      </c>
      <c r="D15" s="10" t="s">
        <v>340</v>
      </c>
      <c r="E15" s="6" t="s">
        <v>301</v>
      </c>
      <c r="F15" s="6" t="s">
        <v>341</v>
      </c>
      <c r="G15" s="11" t="s">
        <v>342</v>
      </c>
    </row>
    <row r="16">
      <c r="A16" s="7">
        <v>15.0</v>
      </c>
      <c r="B16" s="6" t="s">
        <v>203</v>
      </c>
      <c r="C16" s="6" t="s">
        <v>343</v>
      </c>
      <c r="D16" s="10" t="s">
        <v>344</v>
      </c>
      <c r="E16" s="6" t="s">
        <v>345</v>
      </c>
      <c r="F16" s="6" t="s">
        <v>346</v>
      </c>
      <c r="G16" s="11" t="s">
        <v>347</v>
      </c>
    </row>
    <row r="17">
      <c r="A17" s="6"/>
      <c r="B17" s="6"/>
      <c r="C17" s="6"/>
      <c r="D17" s="6"/>
      <c r="E17" s="6"/>
      <c r="F17" s="6"/>
    </row>
    <row r="18">
      <c r="A18" s="6"/>
      <c r="B18" s="6"/>
      <c r="C18" s="6"/>
      <c r="D18" s="6"/>
      <c r="E18" s="6"/>
      <c r="F18" s="6"/>
    </row>
    <row r="19">
      <c r="A19" s="6"/>
      <c r="B19" s="6"/>
      <c r="C19" s="6"/>
      <c r="D19" s="6"/>
      <c r="E19" s="6"/>
      <c r="F19" s="6"/>
    </row>
    <row r="20">
      <c r="A20" s="6"/>
      <c r="B20" s="6"/>
      <c r="C20" s="6"/>
      <c r="D20" s="6"/>
      <c r="E20" s="6"/>
      <c r="F20" s="6"/>
    </row>
    <row r="21" ht="15.75" customHeight="1">
      <c r="A21" s="6"/>
      <c r="B21" s="6"/>
      <c r="C21" s="6"/>
      <c r="D21" s="6"/>
      <c r="E21" s="6"/>
      <c r="F21" s="6"/>
    </row>
    <row r="22" ht="15.75" customHeight="1">
      <c r="A22" s="6"/>
      <c r="B22" s="6"/>
      <c r="C22" s="6"/>
      <c r="D22" s="6"/>
      <c r="E22" s="6"/>
      <c r="F22" s="6"/>
    </row>
    <row r="23" ht="15.75" customHeight="1">
      <c r="A23" s="6"/>
      <c r="B23" s="6"/>
      <c r="C23" s="6"/>
      <c r="D23" s="6"/>
      <c r="E23" s="6"/>
      <c r="F23" s="6"/>
    </row>
    <row r="24" ht="15.75" customHeight="1">
      <c r="A24" s="6"/>
      <c r="B24" s="6"/>
      <c r="C24" s="6"/>
      <c r="D24" s="6"/>
      <c r="E24" s="6"/>
      <c r="F24" s="6"/>
    </row>
    <row r="25" ht="15.75" customHeight="1">
      <c r="A25" s="6"/>
      <c r="B25" s="6"/>
      <c r="C25" s="6"/>
      <c r="D25" s="6"/>
      <c r="E25" s="6"/>
      <c r="F25" s="6"/>
    </row>
    <row r="26" ht="15.75" customHeight="1">
      <c r="A26" s="6"/>
      <c r="B26" s="6"/>
      <c r="C26" s="6"/>
      <c r="D26" s="6"/>
      <c r="E26" s="6"/>
      <c r="F26" s="6"/>
    </row>
    <row r="27" ht="15.75" customHeight="1">
      <c r="A27" s="6"/>
      <c r="B27" s="6"/>
      <c r="C27" s="6"/>
      <c r="D27" s="6"/>
      <c r="E27" s="6"/>
      <c r="F27" s="6"/>
    </row>
    <row r="28" ht="15.75" customHeight="1">
      <c r="A28" s="6"/>
      <c r="B28" s="6"/>
      <c r="C28" s="6"/>
      <c r="D28" s="6"/>
      <c r="E28" s="6"/>
      <c r="F28" s="6"/>
    </row>
    <row r="29" ht="15.75" customHeight="1">
      <c r="A29" s="6"/>
      <c r="B29" s="6"/>
      <c r="C29" s="6"/>
      <c r="D29" s="6"/>
      <c r="E29" s="6"/>
      <c r="F29" s="6"/>
    </row>
    <row r="30" ht="15.75" customHeight="1">
      <c r="A30" s="6"/>
      <c r="B30" s="6"/>
      <c r="C30" s="6"/>
      <c r="D30" s="6"/>
      <c r="E30" s="6"/>
      <c r="F30" s="6"/>
    </row>
    <row r="31" ht="15.75" customHeight="1">
      <c r="A31" s="6"/>
      <c r="B31" s="6"/>
      <c r="C31" s="6"/>
      <c r="D31" s="6"/>
      <c r="E31" s="6"/>
      <c r="F31" s="6"/>
    </row>
    <row r="32" ht="15.75" customHeight="1">
      <c r="A32" s="6"/>
      <c r="B32" s="6"/>
      <c r="C32" s="6"/>
      <c r="D32" s="6"/>
      <c r="E32" s="6"/>
      <c r="F32" s="6"/>
    </row>
    <row r="33" ht="15.75" customHeight="1">
      <c r="A33" s="6"/>
      <c r="B33" s="6"/>
      <c r="C33" s="6"/>
      <c r="D33" s="6"/>
      <c r="E33" s="6"/>
      <c r="F33" s="6"/>
    </row>
    <row r="34" ht="15.75" customHeight="1">
      <c r="A34" s="6"/>
      <c r="B34" s="6"/>
      <c r="C34" s="6"/>
      <c r="D34" s="6"/>
      <c r="E34" s="6"/>
      <c r="F34" s="6"/>
    </row>
    <row r="35" ht="15.75" customHeight="1">
      <c r="A35" s="6"/>
      <c r="B35" s="6"/>
      <c r="C35" s="6"/>
      <c r="D35" s="6"/>
      <c r="E35" s="6"/>
      <c r="F35" s="6"/>
    </row>
    <row r="36" ht="15.75" customHeight="1">
      <c r="A36" s="6"/>
      <c r="B36" s="6"/>
      <c r="C36" s="6"/>
      <c r="D36" s="6"/>
      <c r="E36" s="6"/>
      <c r="F36" s="6"/>
    </row>
    <row r="37" ht="15.75" customHeight="1">
      <c r="A37" s="6"/>
      <c r="B37" s="6"/>
      <c r="C37" s="6"/>
      <c r="D37" s="6"/>
      <c r="E37" s="6"/>
      <c r="F37" s="6"/>
    </row>
    <row r="38" ht="15.75" customHeight="1">
      <c r="A38" s="6"/>
      <c r="B38" s="6"/>
      <c r="C38" s="6"/>
      <c r="D38" s="6"/>
      <c r="E38" s="6"/>
      <c r="F38" s="6"/>
    </row>
    <row r="39" ht="15.75" customHeight="1">
      <c r="A39" s="6"/>
      <c r="B39" s="6"/>
      <c r="C39" s="6"/>
      <c r="D39" s="6"/>
      <c r="E39" s="6"/>
      <c r="F39" s="6"/>
    </row>
    <row r="40" ht="15.75" customHeight="1">
      <c r="A40" s="6"/>
      <c r="B40" s="6"/>
      <c r="C40" s="6"/>
      <c r="D40" s="6"/>
      <c r="E40" s="6"/>
      <c r="F40" s="6"/>
    </row>
    <row r="41" ht="15.75" customHeight="1">
      <c r="A41" s="6"/>
      <c r="B41" s="6"/>
      <c r="C41" s="6"/>
      <c r="D41" s="6"/>
      <c r="E41" s="6"/>
      <c r="F41" s="6"/>
    </row>
    <row r="42" ht="15.75" customHeight="1">
      <c r="A42" s="6"/>
      <c r="B42" s="6"/>
      <c r="C42" s="6"/>
      <c r="D42" s="6"/>
      <c r="E42" s="6"/>
      <c r="F42" s="6"/>
    </row>
    <row r="43" ht="15.75" customHeight="1">
      <c r="A43" s="6"/>
      <c r="B43" s="6"/>
      <c r="C43" s="6"/>
      <c r="D43" s="6"/>
      <c r="E43" s="6"/>
      <c r="F43" s="6"/>
    </row>
    <row r="44" ht="15.75" customHeight="1">
      <c r="A44" s="6"/>
      <c r="B44" s="6"/>
      <c r="C44" s="6"/>
      <c r="D44" s="6"/>
      <c r="E44" s="6"/>
      <c r="F44" s="6"/>
    </row>
    <row r="45" ht="15.75" customHeight="1">
      <c r="A45" s="6"/>
      <c r="B45" s="6"/>
      <c r="C45" s="6"/>
      <c r="D45" s="6"/>
      <c r="E45" s="6"/>
      <c r="F45" s="6"/>
    </row>
    <row r="46" ht="15.75" customHeight="1">
      <c r="A46" s="6"/>
      <c r="B46" s="6"/>
      <c r="C46" s="6"/>
      <c r="D46" s="6"/>
      <c r="E46" s="6"/>
      <c r="F46" s="6"/>
    </row>
    <row r="47" ht="15.75" customHeight="1">
      <c r="A47" s="6"/>
      <c r="B47" s="6"/>
      <c r="C47" s="6"/>
      <c r="D47" s="6"/>
      <c r="E47" s="6"/>
      <c r="F47" s="6"/>
    </row>
    <row r="48" ht="15.75" customHeight="1">
      <c r="A48" s="6"/>
      <c r="B48" s="6"/>
      <c r="C48" s="6"/>
      <c r="D48" s="6"/>
      <c r="E48" s="6"/>
      <c r="F48" s="6"/>
    </row>
    <row r="49" ht="15.75" customHeight="1">
      <c r="A49" s="6"/>
      <c r="B49" s="6"/>
      <c r="C49" s="6"/>
      <c r="D49" s="6"/>
      <c r="E49" s="6"/>
      <c r="F49" s="6"/>
    </row>
    <row r="50" ht="15.75" customHeight="1">
      <c r="A50" s="6"/>
      <c r="B50" s="6"/>
      <c r="C50" s="6"/>
      <c r="D50" s="6"/>
      <c r="E50" s="6"/>
      <c r="F50" s="6"/>
    </row>
    <row r="51" ht="15.75" customHeight="1">
      <c r="A51" s="6"/>
      <c r="B51" s="6"/>
      <c r="C51" s="6"/>
      <c r="D51" s="6"/>
      <c r="E51" s="6"/>
      <c r="F51" s="6"/>
    </row>
    <row r="52" ht="15.75" customHeight="1">
      <c r="A52" s="6"/>
      <c r="B52" s="6"/>
      <c r="C52" s="6"/>
      <c r="D52" s="6"/>
      <c r="E52" s="6"/>
      <c r="F52" s="6"/>
    </row>
    <row r="53" ht="15.75" customHeight="1">
      <c r="A53" s="6"/>
      <c r="B53" s="6"/>
      <c r="C53" s="6"/>
      <c r="D53" s="6"/>
      <c r="E53" s="6"/>
      <c r="F53" s="6"/>
    </row>
    <row r="54" ht="15.75" customHeight="1">
      <c r="A54" s="6"/>
      <c r="B54" s="6"/>
      <c r="C54" s="6"/>
      <c r="D54" s="6"/>
      <c r="E54" s="6"/>
      <c r="F54" s="6"/>
    </row>
    <row r="55" ht="15.75" customHeight="1">
      <c r="A55" s="6"/>
      <c r="B55" s="6"/>
      <c r="C55" s="6"/>
      <c r="D55" s="6"/>
      <c r="E55" s="6"/>
      <c r="F55" s="6"/>
    </row>
    <row r="56" ht="15.75" customHeight="1">
      <c r="A56" s="6"/>
      <c r="B56" s="6"/>
      <c r="C56" s="6"/>
      <c r="D56" s="6"/>
      <c r="E56" s="6"/>
      <c r="F56" s="6"/>
    </row>
    <row r="57" ht="15.75" customHeight="1">
      <c r="A57" s="6"/>
      <c r="B57" s="6"/>
      <c r="C57" s="6"/>
      <c r="D57" s="6"/>
      <c r="E57" s="6"/>
      <c r="F57" s="6"/>
    </row>
    <row r="58" ht="15.75" customHeight="1">
      <c r="A58" s="6"/>
      <c r="B58" s="6"/>
      <c r="C58" s="6"/>
      <c r="D58" s="6"/>
      <c r="E58" s="6"/>
      <c r="F58" s="6"/>
    </row>
    <row r="59" ht="15.75" customHeight="1">
      <c r="A59" s="6"/>
      <c r="B59" s="6"/>
      <c r="C59" s="6"/>
      <c r="D59" s="6"/>
      <c r="E59" s="6"/>
      <c r="F59" s="6"/>
    </row>
    <row r="60" ht="15.75" customHeight="1">
      <c r="A60" s="6"/>
      <c r="B60" s="6"/>
      <c r="C60" s="6"/>
      <c r="D60" s="6"/>
      <c r="E60" s="6"/>
      <c r="F60" s="6"/>
    </row>
    <row r="61" ht="15.75" customHeight="1">
      <c r="A61" s="6"/>
      <c r="B61" s="6"/>
      <c r="C61" s="6"/>
      <c r="D61" s="6"/>
      <c r="E61" s="6"/>
      <c r="F61" s="6"/>
    </row>
    <row r="62" ht="15.75" customHeight="1">
      <c r="A62" s="6"/>
      <c r="B62" s="6"/>
      <c r="C62" s="6"/>
      <c r="D62" s="6"/>
      <c r="E62" s="6"/>
      <c r="F62" s="6"/>
    </row>
    <row r="63" ht="15.75" customHeight="1">
      <c r="A63" s="6"/>
      <c r="B63" s="6"/>
      <c r="C63" s="6"/>
      <c r="D63" s="6"/>
      <c r="E63" s="6"/>
      <c r="F63" s="6"/>
    </row>
    <row r="64" ht="15.75" customHeight="1">
      <c r="A64" s="6"/>
      <c r="B64" s="6"/>
      <c r="C64" s="6"/>
      <c r="D64" s="6"/>
      <c r="E64" s="6"/>
      <c r="F64" s="6"/>
    </row>
    <row r="65" ht="15.75" customHeight="1">
      <c r="A65" s="6"/>
      <c r="B65" s="6"/>
      <c r="C65" s="6"/>
      <c r="D65" s="6"/>
      <c r="E65" s="6"/>
      <c r="F65" s="6"/>
    </row>
    <row r="66" ht="15.75" customHeight="1">
      <c r="A66" s="6"/>
      <c r="B66" s="6"/>
      <c r="C66" s="6"/>
      <c r="D66" s="6"/>
      <c r="E66" s="6"/>
      <c r="F66" s="6"/>
    </row>
    <row r="67" ht="15.75" customHeight="1">
      <c r="A67" s="6"/>
      <c r="B67" s="6"/>
      <c r="C67" s="6"/>
      <c r="D67" s="6"/>
      <c r="E67" s="6"/>
      <c r="F67" s="6"/>
    </row>
    <row r="68" ht="15.75" customHeight="1">
      <c r="A68" s="6"/>
      <c r="B68" s="6"/>
      <c r="C68" s="6"/>
      <c r="D68" s="6"/>
      <c r="E68" s="6"/>
      <c r="F68" s="6"/>
    </row>
    <row r="69" ht="15.75" customHeight="1">
      <c r="A69" s="6"/>
      <c r="B69" s="6"/>
      <c r="C69" s="6"/>
      <c r="D69" s="6"/>
      <c r="E69" s="6"/>
      <c r="F69" s="6"/>
    </row>
    <row r="70" ht="15.75" customHeight="1">
      <c r="A70" s="6"/>
      <c r="B70" s="6"/>
      <c r="C70" s="6"/>
      <c r="D70" s="6"/>
      <c r="E70" s="6"/>
      <c r="F70" s="6"/>
    </row>
    <row r="71" ht="15.75" customHeight="1">
      <c r="A71" s="6"/>
      <c r="B71" s="6"/>
      <c r="C71" s="6"/>
      <c r="D71" s="6"/>
      <c r="E71" s="6"/>
      <c r="F71" s="6"/>
    </row>
    <row r="72" ht="15.75" customHeight="1">
      <c r="A72" s="6"/>
      <c r="B72" s="6"/>
      <c r="C72" s="6"/>
      <c r="D72" s="6"/>
      <c r="E72" s="6"/>
      <c r="F72" s="6"/>
    </row>
    <row r="73" ht="15.75" customHeight="1">
      <c r="A73" s="6"/>
      <c r="B73" s="6"/>
      <c r="C73" s="6"/>
      <c r="D73" s="6"/>
      <c r="E73" s="6"/>
      <c r="F73" s="6"/>
    </row>
    <row r="74" ht="15.75" customHeight="1">
      <c r="A74" s="6"/>
      <c r="B74" s="6"/>
      <c r="C74" s="6"/>
      <c r="D74" s="6"/>
      <c r="E74" s="6"/>
      <c r="F74" s="6"/>
    </row>
    <row r="75" ht="15.75" customHeight="1">
      <c r="A75" s="6"/>
      <c r="B75" s="6"/>
      <c r="C75" s="6"/>
      <c r="D75" s="6"/>
      <c r="E75" s="6"/>
      <c r="F75" s="6"/>
    </row>
    <row r="76" ht="15.75" customHeight="1">
      <c r="A76" s="6"/>
      <c r="B76" s="6"/>
      <c r="C76" s="6"/>
      <c r="D76" s="6"/>
      <c r="E76" s="6"/>
      <c r="F76" s="6"/>
    </row>
    <row r="77" ht="15.75" customHeight="1">
      <c r="A77" s="6"/>
      <c r="B77" s="6"/>
      <c r="C77" s="6"/>
      <c r="D77" s="6"/>
      <c r="E77" s="6"/>
      <c r="F77" s="6"/>
    </row>
    <row r="78" ht="15.75" customHeight="1">
      <c r="A78" s="6"/>
      <c r="B78" s="6"/>
      <c r="C78" s="6"/>
      <c r="D78" s="6"/>
      <c r="E78" s="6"/>
      <c r="F78" s="6"/>
    </row>
    <row r="79" ht="15.75" customHeight="1">
      <c r="A79" s="6"/>
      <c r="B79" s="6"/>
      <c r="C79" s="6"/>
      <c r="D79" s="6"/>
      <c r="E79" s="6"/>
      <c r="F79" s="6"/>
    </row>
    <row r="80" ht="15.75" customHeight="1">
      <c r="A80" s="6"/>
      <c r="B80" s="6"/>
      <c r="C80" s="6"/>
      <c r="D80" s="6"/>
      <c r="E80" s="6"/>
      <c r="F80" s="6"/>
    </row>
    <row r="81" ht="15.75" customHeight="1">
      <c r="A81" s="6"/>
      <c r="B81" s="6"/>
      <c r="C81" s="6"/>
      <c r="D81" s="6"/>
      <c r="E81" s="6"/>
      <c r="F81" s="6"/>
    </row>
    <row r="82" ht="15.75" customHeight="1">
      <c r="A82" s="6"/>
      <c r="B82" s="6"/>
      <c r="C82" s="6"/>
      <c r="D82" s="6"/>
      <c r="E82" s="6"/>
      <c r="F82" s="6"/>
    </row>
    <row r="83" ht="15.75" customHeight="1">
      <c r="A83" s="6"/>
      <c r="B83" s="6"/>
      <c r="C83" s="6"/>
      <c r="D83" s="6"/>
      <c r="E83" s="6"/>
      <c r="F83" s="6"/>
    </row>
    <row r="84" ht="15.75" customHeight="1">
      <c r="A84" s="6"/>
      <c r="B84" s="6"/>
      <c r="C84" s="6"/>
      <c r="D84" s="6"/>
      <c r="E84" s="6"/>
      <c r="F84" s="6"/>
    </row>
    <row r="85" ht="15.75" customHeight="1">
      <c r="A85" s="6"/>
      <c r="B85" s="6"/>
      <c r="C85" s="6"/>
      <c r="D85" s="6"/>
      <c r="E85" s="6"/>
      <c r="F85" s="6"/>
    </row>
    <row r="86" ht="15.75" customHeight="1">
      <c r="A86" s="6"/>
      <c r="B86" s="6"/>
      <c r="C86" s="6"/>
      <c r="D86" s="6"/>
      <c r="E86" s="6"/>
      <c r="F86" s="6"/>
    </row>
    <row r="87" ht="15.75" customHeight="1">
      <c r="A87" s="6"/>
      <c r="B87" s="6"/>
      <c r="C87" s="6"/>
      <c r="D87" s="6"/>
      <c r="E87" s="6"/>
      <c r="F87" s="6"/>
    </row>
    <row r="88" ht="15.75" customHeight="1">
      <c r="A88" s="6"/>
      <c r="B88" s="6"/>
      <c r="C88" s="6"/>
      <c r="D88" s="6"/>
      <c r="E88" s="6"/>
      <c r="F88" s="6"/>
    </row>
    <row r="89" ht="15.75" customHeight="1">
      <c r="A89" s="6"/>
      <c r="B89" s="6"/>
      <c r="C89" s="6"/>
      <c r="D89" s="6"/>
      <c r="E89" s="6"/>
      <c r="F89" s="6"/>
    </row>
    <row r="90" ht="15.75" customHeight="1">
      <c r="A90" s="6"/>
      <c r="B90" s="6"/>
      <c r="C90" s="6"/>
      <c r="D90" s="6"/>
      <c r="E90" s="6"/>
      <c r="F90" s="6"/>
    </row>
    <row r="91" ht="15.75" customHeight="1">
      <c r="A91" s="6"/>
      <c r="B91" s="6"/>
      <c r="C91" s="6"/>
      <c r="D91" s="6"/>
      <c r="E91" s="6"/>
      <c r="F91" s="6"/>
    </row>
    <row r="92" ht="15.75" customHeight="1">
      <c r="A92" s="6"/>
      <c r="B92" s="6"/>
      <c r="C92" s="6"/>
      <c r="D92" s="6"/>
      <c r="E92" s="6"/>
      <c r="F92" s="6"/>
    </row>
    <row r="93" ht="15.75" customHeight="1">
      <c r="A93" s="6"/>
      <c r="B93" s="6"/>
      <c r="C93" s="6"/>
      <c r="D93" s="6"/>
      <c r="E93" s="6"/>
      <c r="F93" s="6"/>
    </row>
    <row r="94" ht="15.75" customHeight="1">
      <c r="A94" s="6"/>
      <c r="B94" s="6"/>
      <c r="C94" s="6"/>
      <c r="D94" s="6"/>
      <c r="E94" s="6"/>
      <c r="F94" s="6"/>
    </row>
    <row r="95" ht="15.75" customHeight="1">
      <c r="A95" s="6"/>
      <c r="B95" s="6"/>
      <c r="C95" s="6"/>
      <c r="D95" s="6"/>
      <c r="E95" s="6"/>
      <c r="F95" s="6"/>
    </row>
    <row r="96" ht="15.75" customHeight="1">
      <c r="A96" s="6"/>
      <c r="B96" s="6"/>
      <c r="C96" s="6"/>
      <c r="D96" s="6"/>
      <c r="E96" s="6"/>
      <c r="F96" s="6"/>
    </row>
    <row r="97" ht="15.75" customHeight="1">
      <c r="A97" s="6"/>
      <c r="B97" s="6"/>
      <c r="C97" s="6"/>
      <c r="D97" s="6"/>
      <c r="E97" s="6"/>
      <c r="F97" s="6"/>
    </row>
    <row r="98" ht="15.75" customHeight="1">
      <c r="A98" s="6"/>
      <c r="B98" s="6"/>
      <c r="C98" s="6"/>
      <c r="D98" s="6"/>
      <c r="E98" s="6"/>
      <c r="F98" s="6"/>
    </row>
    <row r="99" ht="15.75" customHeight="1">
      <c r="A99" s="6"/>
      <c r="B99" s="6"/>
      <c r="C99" s="6"/>
      <c r="D99" s="6"/>
      <c r="E99" s="6"/>
      <c r="F99" s="6"/>
    </row>
    <row r="100" ht="15.75" customHeight="1">
      <c r="A100" s="6"/>
      <c r="B100" s="6"/>
      <c r="C100" s="6"/>
      <c r="D100" s="6"/>
      <c r="E100" s="6"/>
      <c r="F100" s="6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40.71"/>
    <col customWidth="1" min="2" max="2" width="89.71"/>
    <col customWidth="1" min="3" max="6" width="14.43"/>
  </cols>
  <sheetData>
    <row r="1">
      <c r="A1" s="11" t="s">
        <v>348</v>
      </c>
      <c r="B1" s="11" t="s">
        <v>349</v>
      </c>
    </row>
    <row r="2">
      <c r="A2" s="1" t="s">
        <v>350</v>
      </c>
      <c r="B2" s="1" t="s">
        <v>351</v>
      </c>
    </row>
    <row r="3">
      <c r="A3" s="1" t="s">
        <v>352</v>
      </c>
      <c r="B3" s="1" t="s">
        <v>353</v>
      </c>
    </row>
    <row r="4">
      <c r="A4" s="1" t="s">
        <v>354</v>
      </c>
      <c r="B4" s="1" t="s">
        <v>355</v>
      </c>
    </row>
    <row r="5">
      <c r="A5" s="1" t="s">
        <v>356</v>
      </c>
      <c r="B5" s="1" t="s">
        <v>357</v>
      </c>
    </row>
    <row r="6">
      <c r="A6" s="1" t="s">
        <v>358</v>
      </c>
      <c r="B6" s="1" t="s">
        <v>359</v>
      </c>
    </row>
    <row r="7">
      <c r="A7" s="1" t="s">
        <v>360</v>
      </c>
      <c r="B7" s="1" t="s">
        <v>361</v>
      </c>
    </row>
    <row r="8">
      <c r="A8" s="1" t="s">
        <v>362</v>
      </c>
      <c r="B8" s="11" t="s">
        <v>363</v>
      </c>
    </row>
    <row r="9">
      <c r="A9" s="1" t="s">
        <v>364</v>
      </c>
      <c r="B9" s="1" t="s">
        <v>365</v>
      </c>
    </row>
    <row r="10">
      <c r="A10" s="1" t="s">
        <v>366</v>
      </c>
      <c r="B10" s="1" t="s">
        <v>367</v>
      </c>
    </row>
    <row r="11">
      <c r="A11" s="1" t="s">
        <v>368</v>
      </c>
      <c r="B11" s="1" t="s">
        <v>367</v>
      </c>
    </row>
    <row r="12">
      <c r="A12" s="1" t="s">
        <v>369</v>
      </c>
      <c r="B12" s="1" t="s">
        <v>370</v>
      </c>
    </row>
    <row r="13">
      <c r="A13" s="1" t="s">
        <v>371</v>
      </c>
      <c r="B13" s="1" t="s">
        <v>372</v>
      </c>
    </row>
    <row r="14">
      <c r="A14" s="1" t="s">
        <v>373</v>
      </c>
      <c r="B14" s="1" t="s">
        <v>374</v>
      </c>
    </row>
    <row r="15">
      <c r="A15" s="1" t="s">
        <v>375</v>
      </c>
      <c r="B15" s="1" t="s">
        <v>376</v>
      </c>
    </row>
    <row r="16">
      <c r="A16" s="1" t="s">
        <v>377</v>
      </c>
      <c r="B16" s="1" t="s">
        <v>378</v>
      </c>
    </row>
    <row r="17">
      <c r="A17" s="1" t="s">
        <v>379</v>
      </c>
      <c r="B17" s="1" t="s">
        <v>380</v>
      </c>
    </row>
    <row r="18">
      <c r="A18" s="1" t="s">
        <v>381</v>
      </c>
      <c r="B18" s="1" t="s">
        <v>382</v>
      </c>
    </row>
    <row r="19">
      <c r="A19" s="1" t="s">
        <v>383</v>
      </c>
      <c r="B19" s="1" t="s">
        <v>384</v>
      </c>
    </row>
    <row r="20">
      <c r="A20" s="1" t="s">
        <v>385</v>
      </c>
      <c r="B20" s="1" t="s">
        <v>386</v>
      </c>
    </row>
    <row r="21" ht="15.75" customHeight="1">
      <c r="A21" s="1" t="s">
        <v>387</v>
      </c>
      <c r="B21" s="1" t="s">
        <v>386</v>
      </c>
    </row>
    <row r="22" ht="15.75" customHeight="1">
      <c r="A22" s="1" t="s">
        <v>388</v>
      </c>
      <c r="B22" s="1" t="s">
        <v>389</v>
      </c>
    </row>
    <row r="23" ht="15.75" customHeight="1">
      <c r="A23" s="1" t="s">
        <v>390</v>
      </c>
      <c r="B23" s="1" t="s">
        <v>391</v>
      </c>
    </row>
    <row r="24" ht="15.75" customHeight="1">
      <c r="A24" s="1" t="s">
        <v>392</v>
      </c>
      <c r="B24" s="1" t="s">
        <v>393</v>
      </c>
    </row>
    <row r="25" ht="15.75" customHeight="1">
      <c r="A25" s="1" t="s">
        <v>394</v>
      </c>
      <c r="B25" s="1" t="s">
        <v>395</v>
      </c>
    </row>
    <row r="26" ht="15.75" customHeight="1">
      <c r="A26" s="1" t="s">
        <v>396</v>
      </c>
      <c r="B26" s="1" t="s">
        <v>397</v>
      </c>
    </row>
    <row r="27" ht="15.75" customHeight="1">
      <c r="A27" s="1" t="s">
        <v>398</v>
      </c>
      <c r="B27" s="1" t="s">
        <v>399</v>
      </c>
    </row>
    <row r="28" ht="15.75" customHeight="1">
      <c r="A28" s="1" t="s">
        <v>400</v>
      </c>
      <c r="B28" s="1" t="s">
        <v>401</v>
      </c>
    </row>
    <row r="29" ht="15.75" customHeight="1">
      <c r="A29" s="1" t="s">
        <v>402</v>
      </c>
      <c r="B29" s="1" t="s">
        <v>403</v>
      </c>
    </row>
    <row r="30" ht="15.75" customHeight="1">
      <c r="A30" s="1" t="s">
        <v>404</v>
      </c>
      <c r="B30" s="12">
        <v>8388608.0</v>
      </c>
    </row>
    <row r="31" ht="15.75" customHeight="1">
      <c r="A31" s="1" t="s">
        <v>405</v>
      </c>
      <c r="B31" s="1" t="s">
        <v>406</v>
      </c>
    </row>
    <row r="32" ht="15.75" customHeight="1">
      <c r="A32" s="1" t="s">
        <v>407</v>
      </c>
      <c r="B32" s="1" t="s">
        <v>408</v>
      </c>
    </row>
    <row r="33" ht="15.75" customHeight="1">
      <c r="A33" s="1" t="s">
        <v>409</v>
      </c>
      <c r="B33" s="1" t="s">
        <v>410</v>
      </c>
    </row>
    <row r="34" ht="15.75" customHeight="1">
      <c r="A34" s="1" t="s">
        <v>411</v>
      </c>
      <c r="B34" s="1" t="s">
        <v>412</v>
      </c>
    </row>
    <row r="35" ht="15.75" customHeight="1">
      <c r="A35" s="1" t="s">
        <v>413</v>
      </c>
      <c r="B35" s="1" t="s">
        <v>414</v>
      </c>
    </row>
    <row r="36" ht="15.75" customHeight="1">
      <c r="A36" s="1" t="s">
        <v>415</v>
      </c>
      <c r="B36" s="1" t="s">
        <v>416</v>
      </c>
    </row>
    <row r="37" ht="15.75" customHeight="1">
      <c r="A37" s="1" t="s">
        <v>417</v>
      </c>
      <c r="B37" s="1" t="s">
        <v>418</v>
      </c>
    </row>
    <row r="38" ht="15.75" customHeight="1">
      <c r="A38" s="1" t="s">
        <v>419</v>
      </c>
      <c r="B38" s="1" t="s">
        <v>420</v>
      </c>
    </row>
    <row r="39" ht="15.75" customHeight="1">
      <c r="A39" s="1" t="s">
        <v>421</v>
      </c>
      <c r="B39" s="1" t="s">
        <v>422</v>
      </c>
    </row>
    <row r="40" ht="15.75" customHeight="1">
      <c r="A40" s="1" t="s">
        <v>423</v>
      </c>
      <c r="B40" s="1" t="s">
        <v>424</v>
      </c>
    </row>
    <row r="41" ht="15.75" customHeight="1">
      <c r="A41" s="1" t="s">
        <v>425</v>
      </c>
      <c r="B41" s="1" t="s">
        <v>426</v>
      </c>
    </row>
    <row r="42" ht="15.75" customHeight="1">
      <c r="A42" s="1" t="s">
        <v>427</v>
      </c>
      <c r="B42" s="1" t="s">
        <v>428</v>
      </c>
    </row>
    <row r="43" ht="15.75" customHeight="1">
      <c r="A43" s="1" t="s">
        <v>429</v>
      </c>
      <c r="B43" s="1" t="s">
        <v>430</v>
      </c>
    </row>
    <row r="44" ht="15.75" customHeight="1">
      <c r="A44" s="1" t="s">
        <v>431</v>
      </c>
      <c r="B44" s="1" t="s">
        <v>432</v>
      </c>
    </row>
    <row r="45" ht="15.75" customHeight="1">
      <c r="A45" s="1" t="s">
        <v>433</v>
      </c>
      <c r="B45" s="1" t="s">
        <v>434</v>
      </c>
    </row>
    <row r="46" ht="15.75" customHeight="1">
      <c r="A46" s="1" t="s">
        <v>435</v>
      </c>
      <c r="B46" s="1" t="s">
        <v>436</v>
      </c>
    </row>
    <row r="47" ht="15.75" customHeight="1">
      <c r="A47" s="1" t="s">
        <v>437</v>
      </c>
      <c r="B47" s="1" t="s">
        <v>438</v>
      </c>
    </row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31.0"/>
    <col customWidth="1" min="2" max="2" width="161.29"/>
    <col customWidth="1" min="3" max="6" width="14.43"/>
  </cols>
  <sheetData>
    <row r="1">
      <c r="A1" s="11" t="s">
        <v>348</v>
      </c>
      <c r="B1" s="11" t="s">
        <v>349</v>
      </c>
    </row>
    <row r="2">
      <c r="A2" s="1" t="s">
        <v>350</v>
      </c>
      <c r="B2" s="1" t="s">
        <v>439</v>
      </c>
    </row>
    <row r="3">
      <c r="A3" s="1" t="s">
        <v>352</v>
      </c>
      <c r="B3" s="1" t="s">
        <v>440</v>
      </c>
    </row>
    <row r="4">
      <c r="A4" s="1" t="s">
        <v>356</v>
      </c>
      <c r="B4" s="1" t="s">
        <v>441</v>
      </c>
    </row>
    <row r="5">
      <c r="A5" s="1" t="s">
        <v>358</v>
      </c>
      <c r="B5" s="1" t="s">
        <v>442</v>
      </c>
    </row>
    <row r="6">
      <c r="A6" s="1" t="s">
        <v>443</v>
      </c>
      <c r="B6" s="1" t="s">
        <v>444</v>
      </c>
    </row>
    <row r="7">
      <c r="A7" s="1" t="s">
        <v>445</v>
      </c>
      <c r="B7" s="1" t="s">
        <v>446</v>
      </c>
    </row>
    <row r="8">
      <c r="A8" s="1" t="s">
        <v>447</v>
      </c>
      <c r="B8" s="1" t="s">
        <v>448</v>
      </c>
    </row>
    <row r="9">
      <c r="A9" s="1" t="s">
        <v>423</v>
      </c>
      <c r="B9" s="1" t="s">
        <v>424</v>
      </c>
    </row>
    <row r="10">
      <c r="A10" s="1" t="s">
        <v>449</v>
      </c>
      <c r="B10" s="1" t="s">
        <v>450</v>
      </c>
    </row>
    <row r="11">
      <c r="A11" s="1" t="s">
        <v>451</v>
      </c>
      <c r="B11" s="1" t="s">
        <v>420</v>
      </c>
    </row>
    <row r="12">
      <c r="A12" s="1" t="s">
        <v>452</v>
      </c>
      <c r="B12" s="1" t="s">
        <v>453</v>
      </c>
    </row>
    <row r="13">
      <c r="A13" s="1" t="s">
        <v>454</v>
      </c>
      <c r="B13" s="1" t="s">
        <v>455</v>
      </c>
    </row>
    <row r="14">
      <c r="A14" s="1" t="s">
        <v>456</v>
      </c>
      <c r="B14" s="1" t="s">
        <v>457</v>
      </c>
    </row>
    <row r="15">
      <c r="A15" s="1" t="s">
        <v>458</v>
      </c>
      <c r="B15" s="11" t="s">
        <v>459</v>
      </c>
    </row>
    <row r="16">
      <c r="A16" s="1" t="s">
        <v>460</v>
      </c>
      <c r="B16" s="1" t="s">
        <v>461</v>
      </c>
    </row>
    <row r="17">
      <c r="A17" s="1" t="s">
        <v>462</v>
      </c>
      <c r="B17" s="1" t="s">
        <v>463</v>
      </c>
    </row>
    <row r="18">
      <c r="A18" s="1" t="s">
        <v>464</v>
      </c>
      <c r="B18" s="1" t="s">
        <v>465</v>
      </c>
    </row>
    <row r="19">
      <c r="A19" s="1" t="s">
        <v>466</v>
      </c>
      <c r="B19" s="1" t="s">
        <v>467</v>
      </c>
    </row>
    <row r="20">
      <c r="A20" s="1" t="s">
        <v>468</v>
      </c>
      <c r="B20" s="1" t="s">
        <v>469</v>
      </c>
    </row>
    <row r="21" ht="15.75" customHeight="1">
      <c r="A21" s="1" t="s">
        <v>470</v>
      </c>
      <c r="B21" s="1" t="s">
        <v>471</v>
      </c>
    </row>
    <row r="22" ht="15.75" customHeight="1">
      <c r="A22" s="1" t="s">
        <v>472</v>
      </c>
      <c r="B22" s="11" t="s">
        <v>473</v>
      </c>
    </row>
    <row r="23" ht="15.75" customHeight="1">
      <c r="A23" s="1" t="s">
        <v>474</v>
      </c>
      <c r="B23" s="1" t="s">
        <v>475</v>
      </c>
    </row>
    <row r="24" ht="15.75" customHeight="1">
      <c r="A24" s="1" t="s">
        <v>476</v>
      </c>
      <c r="B24" s="1" t="s">
        <v>477</v>
      </c>
    </row>
    <row r="25" ht="15.75" customHeight="1">
      <c r="A25" s="1" t="s">
        <v>379</v>
      </c>
      <c r="B25" s="1" t="s">
        <v>478</v>
      </c>
    </row>
    <row r="26" ht="15.75" customHeight="1">
      <c r="A26" s="1" t="s">
        <v>479</v>
      </c>
      <c r="B26" s="1" t="s">
        <v>480</v>
      </c>
    </row>
    <row r="27" ht="15.75" customHeight="1">
      <c r="A27" s="1" t="s">
        <v>429</v>
      </c>
      <c r="B27" s="1" t="s">
        <v>481</v>
      </c>
    </row>
    <row r="28" ht="15.75" customHeight="1">
      <c r="A28" s="1" t="s">
        <v>482</v>
      </c>
      <c r="B28" s="1" t="s">
        <v>483</v>
      </c>
    </row>
    <row r="29" ht="15.75" customHeight="1">
      <c r="A29" s="1" t="s">
        <v>431</v>
      </c>
      <c r="B29" s="1" t="s">
        <v>432</v>
      </c>
    </row>
    <row r="30" ht="15.75" customHeight="1">
      <c r="A30" s="1" t="s">
        <v>433</v>
      </c>
      <c r="B30" s="11" t="s">
        <v>484</v>
      </c>
    </row>
    <row r="31" ht="15.75" customHeight="1">
      <c r="A31" s="1" t="s">
        <v>435</v>
      </c>
      <c r="B31" s="1" t="s">
        <v>436</v>
      </c>
    </row>
    <row r="32" ht="15.75" customHeight="1">
      <c r="A32" s="1" t="s">
        <v>437</v>
      </c>
      <c r="B32" s="11" t="s">
        <v>485</v>
      </c>
    </row>
    <row r="33" ht="15.75" customHeight="1">
      <c r="A33" s="1" t="s">
        <v>486</v>
      </c>
      <c r="B33" s="11" t="s">
        <v>487</v>
      </c>
    </row>
    <row r="34" ht="15.75" customHeight="1">
      <c r="A34" s="1" t="s">
        <v>488</v>
      </c>
      <c r="B34" s="1" t="s">
        <v>489</v>
      </c>
    </row>
    <row r="35" ht="15.75" customHeight="1">
      <c r="A35" s="1" t="s">
        <v>490</v>
      </c>
      <c r="B35" s="11" t="s">
        <v>491</v>
      </c>
    </row>
    <row r="36" ht="15.75" customHeight="1">
      <c r="A36" s="1" t="s">
        <v>492</v>
      </c>
      <c r="B36" s="11" t="s">
        <v>493</v>
      </c>
    </row>
    <row r="37" ht="15.75" customHeight="1">
      <c r="A37" s="1" t="s">
        <v>494</v>
      </c>
      <c r="B37" s="11" t="s">
        <v>495</v>
      </c>
    </row>
    <row r="38" ht="15.75" customHeight="1">
      <c r="A38" s="1" t="s">
        <v>496</v>
      </c>
      <c r="B38" s="11" t="s">
        <v>497</v>
      </c>
    </row>
    <row r="39" ht="15.75" customHeight="1">
      <c r="A39" s="1" t="s">
        <v>498</v>
      </c>
      <c r="B39" s="11" t="s">
        <v>499</v>
      </c>
    </row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33.29"/>
    <col customWidth="1" min="2" max="2" width="44.43"/>
    <col customWidth="1" min="3" max="6" width="14.43"/>
  </cols>
  <sheetData>
    <row r="1">
      <c r="A1" s="11" t="s">
        <v>348</v>
      </c>
      <c r="B1" s="11" t="s">
        <v>349</v>
      </c>
      <c r="C1" s="11" t="s">
        <v>348</v>
      </c>
      <c r="D1" s="11" t="s">
        <v>500</v>
      </c>
    </row>
    <row r="2">
      <c r="A2" s="1" t="s">
        <v>350</v>
      </c>
      <c r="B2" s="1" t="s">
        <v>501</v>
      </c>
      <c r="C2" s="1" t="s">
        <v>502</v>
      </c>
      <c r="D2" s="1">
        <v>70.0</v>
      </c>
    </row>
    <row r="3">
      <c r="A3" s="1" t="s">
        <v>356</v>
      </c>
      <c r="B3" s="1" t="s">
        <v>503</v>
      </c>
      <c r="C3" s="1" t="s">
        <v>504</v>
      </c>
      <c r="D3" s="1">
        <v>5.5</v>
      </c>
    </row>
    <row r="4">
      <c r="A4" s="1" t="s">
        <v>423</v>
      </c>
      <c r="B4" s="1" t="s">
        <v>505</v>
      </c>
      <c r="C4" s="1" t="s">
        <v>506</v>
      </c>
      <c r="D4" s="1">
        <v>16.0</v>
      </c>
    </row>
    <row r="5">
      <c r="A5" s="1" t="s">
        <v>507</v>
      </c>
      <c r="B5" s="1" t="s">
        <v>508</v>
      </c>
      <c r="C5" s="1" t="s">
        <v>509</v>
      </c>
      <c r="D5" s="1">
        <v>50.0</v>
      </c>
    </row>
    <row r="6">
      <c r="A6" s="1" t="s">
        <v>510</v>
      </c>
      <c r="B6" s="1">
        <v>20.0</v>
      </c>
      <c r="C6" s="1" t="s">
        <v>511</v>
      </c>
      <c r="D6" s="1">
        <v>45.0</v>
      </c>
    </row>
    <row r="7">
      <c r="A7" s="1" t="s">
        <v>512</v>
      </c>
      <c r="B7" s="1" t="s">
        <v>513</v>
      </c>
      <c r="C7" s="1" t="s">
        <v>514</v>
      </c>
      <c r="D7" s="1" t="s">
        <v>515</v>
      </c>
    </row>
    <row r="8">
      <c r="A8" s="1" t="s">
        <v>516</v>
      </c>
      <c r="B8" s="1" t="s">
        <v>517</v>
      </c>
      <c r="C8" s="1" t="s">
        <v>518</v>
      </c>
      <c r="D8" s="1">
        <v>80.0</v>
      </c>
    </row>
    <row r="9">
      <c r="A9" s="1" t="s">
        <v>519</v>
      </c>
      <c r="B9" s="1" t="s">
        <v>520</v>
      </c>
      <c r="C9" s="1" t="s">
        <v>521</v>
      </c>
      <c r="D9" s="1">
        <v>60.0</v>
      </c>
    </row>
    <row r="10">
      <c r="A10" s="1" t="s">
        <v>522</v>
      </c>
      <c r="B10" s="1" t="s">
        <v>523</v>
      </c>
      <c r="C10" s="1" t="s">
        <v>524</v>
      </c>
      <c r="D10" s="1">
        <v>37.0</v>
      </c>
    </row>
    <row r="11">
      <c r="A11" s="1" t="s">
        <v>525</v>
      </c>
      <c r="B11" s="1" t="s">
        <v>526</v>
      </c>
      <c r="C11" s="1" t="s">
        <v>527</v>
      </c>
      <c r="D11" s="1">
        <v>7.0</v>
      </c>
    </row>
    <row r="12">
      <c r="A12" s="1" t="s">
        <v>528</v>
      </c>
      <c r="B12" s="1" t="s">
        <v>529</v>
      </c>
      <c r="C12" s="1" t="s">
        <v>530</v>
      </c>
      <c r="D12" s="1">
        <v>1.5</v>
      </c>
    </row>
    <row r="13">
      <c r="A13" s="1" t="s">
        <v>531</v>
      </c>
      <c r="B13" s="1" t="s">
        <v>532</v>
      </c>
      <c r="C13" s="1" t="s">
        <v>533</v>
      </c>
      <c r="D13" s="1">
        <v>25.0</v>
      </c>
    </row>
    <row r="14">
      <c r="A14" s="1" t="s">
        <v>534</v>
      </c>
      <c r="B14" s="1" t="s">
        <v>535</v>
      </c>
      <c r="C14" s="1" t="s">
        <v>536</v>
      </c>
      <c r="D14" s="1">
        <v>2.0</v>
      </c>
    </row>
    <row r="15">
      <c r="A15" s="1" t="s">
        <v>537</v>
      </c>
      <c r="B15" s="1" t="s">
        <v>538</v>
      </c>
      <c r="C15" s="1" t="s">
        <v>539</v>
      </c>
      <c r="D15" s="1">
        <v>6.0</v>
      </c>
    </row>
    <row r="16">
      <c r="A16" s="1" t="s">
        <v>540</v>
      </c>
      <c r="B16" s="1" t="s">
        <v>541</v>
      </c>
      <c r="C16" s="1" t="s">
        <v>542</v>
      </c>
      <c r="D16" s="1">
        <v>98.0</v>
      </c>
    </row>
    <row r="17">
      <c r="A17" s="1" t="s">
        <v>543</v>
      </c>
      <c r="B17" s="1" t="s">
        <v>544</v>
      </c>
      <c r="C17" s="1" t="s">
        <v>545</v>
      </c>
      <c r="D17" s="1">
        <v>4.8</v>
      </c>
    </row>
    <row r="18">
      <c r="A18" s="1" t="s">
        <v>546</v>
      </c>
      <c r="B18" s="1" t="s">
        <v>547</v>
      </c>
      <c r="C18" s="1" t="s">
        <v>548</v>
      </c>
      <c r="D18" s="1">
        <v>12.5</v>
      </c>
    </row>
    <row r="19">
      <c r="A19" s="1" t="s">
        <v>549</v>
      </c>
      <c r="B19" s="1" t="s">
        <v>550</v>
      </c>
      <c r="C19" s="1" t="s">
        <v>551</v>
      </c>
      <c r="D19" s="1">
        <v>70.0</v>
      </c>
    </row>
    <row r="20">
      <c r="A20" s="1" t="s">
        <v>552</v>
      </c>
      <c r="B20" s="1" t="s">
        <v>553</v>
      </c>
      <c r="C20" s="1" t="s">
        <v>554</v>
      </c>
      <c r="D20" s="1" t="s">
        <v>515</v>
      </c>
    </row>
    <row r="21" ht="15.75" customHeight="1">
      <c r="A21" s="1" t="s">
        <v>360</v>
      </c>
      <c r="B21" s="1" t="s">
        <v>555</v>
      </c>
      <c r="C21" s="1" t="s">
        <v>556</v>
      </c>
      <c r="D21" s="1">
        <v>34.0</v>
      </c>
    </row>
    <row r="22" ht="15.75" customHeight="1">
      <c r="A22" s="1" t="s">
        <v>557</v>
      </c>
      <c r="B22" s="1" t="s">
        <v>558</v>
      </c>
      <c r="C22" s="1" t="s">
        <v>559</v>
      </c>
      <c r="D22" s="1">
        <v>50.0</v>
      </c>
    </row>
    <row r="23" ht="15.75" customHeight="1">
      <c r="A23" s="1" t="s">
        <v>560</v>
      </c>
      <c r="B23" s="1" t="s">
        <v>561</v>
      </c>
      <c r="C23" s="1" t="s">
        <v>562</v>
      </c>
      <c r="D23" s="1">
        <v>8.0</v>
      </c>
    </row>
    <row r="24" ht="15.75" customHeight="1">
      <c r="A24" s="1" t="s">
        <v>379</v>
      </c>
      <c r="B24" s="1" t="s">
        <v>563</v>
      </c>
      <c r="C24" s="1" t="s">
        <v>564</v>
      </c>
      <c r="D24" s="1">
        <v>60.0</v>
      </c>
    </row>
    <row r="25" ht="15.75" customHeight="1">
      <c r="A25" s="1" t="s">
        <v>565</v>
      </c>
      <c r="B25" s="1" t="s">
        <v>566</v>
      </c>
      <c r="C25" s="1" t="s">
        <v>567</v>
      </c>
      <c r="D25" s="1">
        <v>19.0</v>
      </c>
    </row>
    <row r="26" ht="15.75" customHeight="1">
      <c r="A26" s="1" t="s">
        <v>568</v>
      </c>
      <c r="B26" s="1" t="s">
        <v>569</v>
      </c>
      <c r="C26" s="1" t="s">
        <v>570</v>
      </c>
      <c r="D26" s="1">
        <v>154.0</v>
      </c>
    </row>
    <row r="27" ht="15.75" customHeight="1">
      <c r="C27" s="1" t="s">
        <v>571</v>
      </c>
      <c r="D27" s="1">
        <v>13.5</v>
      </c>
    </row>
    <row r="28" ht="15.75" customHeight="1">
      <c r="C28" s="1" t="s">
        <v>572</v>
      </c>
      <c r="D28" s="1">
        <v>5.0</v>
      </c>
    </row>
    <row r="29" ht="15.75" customHeight="1">
      <c r="C29" s="1" t="s">
        <v>573</v>
      </c>
      <c r="D29" s="1">
        <v>18.0</v>
      </c>
    </row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29.0"/>
    <col customWidth="1" min="2" max="2" width="22.86"/>
    <col customWidth="1" min="3" max="3" width="27.86"/>
    <col customWidth="1" min="4" max="5" width="14.43"/>
    <col customWidth="1" min="6" max="6" width="29.57"/>
  </cols>
  <sheetData>
    <row r="1">
      <c r="A1" s="13" t="s">
        <v>574</v>
      </c>
      <c r="B1" s="13" t="s">
        <v>575</v>
      </c>
      <c r="C1" s="13" t="s">
        <v>576</v>
      </c>
      <c r="D1" s="13" t="s">
        <v>577</v>
      </c>
      <c r="E1" s="13" t="s">
        <v>3</v>
      </c>
      <c r="F1" s="13" t="s">
        <v>578</v>
      </c>
    </row>
    <row r="2">
      <c r="A2" s="13" t="s">
        <v>579</v>
      </c>
      <c r="B2" s="13" t="s">
        <v>223</v>
      </c>
      <c r="C2" s="13" t="s">
        <v>580</v>
      </c>
      <c r="D2" s="13" t="s">
        <v>580</v>
      </c>
      <c r="E2" s="13" t="s">
        <v>255</v>
      </c>
      <c r="F2" s="13" t="s">
        <v>581</v>
      </c>
    </row>
    <row r="3">
      <c r="A3" s="13" t="s">
        <v>582</v>
      </c>
      <c r="B3" s="13" t="s">
        <v>583</v>
      </c>
      <c r="C3" s="13" t="s">
        <v>50</v>
      </c>
      <c r="D3" s="13" t="s">
        <v>584</v>
      </c>
      <c r="E3" s="13" t="s">
        <v>585</v>
      </c>
      <c r="F3" s="13" t="s">
        <v>586</v>
      </c>
    </row>
    <row r="4">
      <c r="A4" s="13" t="s">
        <v>587</v>
      </c>
      <c r="B4" s="13" t="s">
        <v>588</v>
      </c>
      <c r="C4" s="13" t="s">
        <v>589</v>
      </c>
      <c r="D4" s="13" t="s">
        <v>590</v>
      </c>
      <c r="E4" s="13" t="s">
        <v>206</v>
      </c>
      <c r="F4" s="13" t="s">
        <v>591</v>
      </c>
    </row>
    <row r="5">
      <c r="A5" s="13" t="s">
        <v>592</v>
      </c>
      <c r="B5" s="13" t="s">
        <v>593</v>
      </c>
      <c r="C5" s="13" t="s">
        <v>594</v>
      </c>
      <c r="D5" s="13" t="s">
        <v>595</v>
      </c>
      <c r="E5" s="13" t="s">
        <v>223</v>
      </c>
      <c r="F5" s="13" t="s">
        <v>596</v>
      </c>
    </row>
    <row r="6">
      <c r="A6" s="13" t="s">
        <v>597</v>
      </c>
      <c r="B6" s="13" t="s">
        <v>598</v>
      </c>
      <c r="C6" s="13" t="s">
        <v>599</v>
      </c>
      <c r="D6" s="13" t="s">
        <v>600</v>
      </c>
      <c r="E6" s="13" t="s">
        <v>223</v>
      </c>
      <c r="F6" s="13" t="s">
        <v>601</v>
      </c>
    </row>
    <row r="7">
      <c r="A7" s="13" t="s">
        <v>602</v>
      </c>
      <c r="B7" s="13" t="s">
        <v>603</v>
      </c>
      <c r="C7" s="13" t="s">
        <v>604</v>
      </c>
      <c r="D7" s="13" t="s">
        <v>605</v>
      </c>
      <c r="E7" s="13" t="s">
        <v>223</v>
      </c>
      <c r="F7" s="13" t="s">
        <v>606</v>
      </c>
    </row>
    <row r="8">
      <c r="A8" s="13" t="s">
        <v>607</v>
      </c>
      <c r="B8" s="13" t="s">
        <v>608</v>
      </c>
      <c r="C8" s="13" t="s">
        <v>609</v>
      </c>
      <c r="D8" s="13" t="s">
        <v>610</v>
      </c>
      <c r="E8" s="13" t="s">
        <v>214</v>
      </c>
      <c r="F8" s="13" t="s">
        <v>611</v>
      </c>
    </row>
    <row r="9">
      <c r="A9" s="13" t="s">
        <v>612</v>
      </c>
      <c r="B9" s="13" t="s">
        <v>613</v>
      </c>
      <c r="C9" s="13" t="s">
        <v>50</v>
      </c>
      <c r="D9" s="13" t="s">
        <v>614</v>
      </c>
      <c r="E9" s="13" t="s">
        <v>50</v>
      </c>
      <c r="F9" s="13" t="s">
        <v>615</v>
      </c>
    </row>
    <row r="10">
      <c r="A10" s="13" t="s">
        <v>151</v>
      </c>
      <c r="B10" s="13" t="s">
        <v>616</v>
      </c>
      <c r="C10" s="13" t="s">
        <v>617</v>
      </c>
      <c r="D10" s="13" t="s">
        <v>618</v>
      </c>
      <c r="E10" s="13" t="s">
        <v>206</v>
      </c>
      <c r="F10" s="13" t="s">
        <v>150</v>
      </c>
    </row>
    <row r="11">
      <c r="A11" s="13" t="s">
        <v>619</v>
      </c>
      <c r="B11" s="13" t="s">
        <v>620</v>
      </c>
      <c r="C11" s="13" t="s">
        <v>621</v>
      </c>
      <c r="D11" s="13" t="s">
        <v>622</v>
      </c>
      <c r="E11" s="13" t="s">
        <v>214</v>
      </c>
      <c r="F11" s="13" t="s">
        <v>623</v>
      </c>
    </row>
    <row r="12">
      <c r="A12" s="13" t="s">
        <v>624</v>
      </c>
      <c r="B12" s="13" t="s">
        <v>625</v>
      </c>
      <c r="C12" s="13" t="s">
        <v>626</v>
      </c>
      <c r="D12" s="13" t="s">
        <v>627</v>
      </c>
      <c r="E12" s="13" t="s">
        <v>214</v>
      </c>
      <c r="F12" s="13" t="s">
        <v>628</v>
      </c>
    </row>
    <row r="13">
      <c r="A13" s="13" t="s">
        <v>629</v>
      </c>
      <c r="B13" s="13" t="s">
        <v>630</v>
      </c>
      <c r="C13" s="13" t="s">
        <v>631</v>
      </c>
      <c r="D13" s="13" t="s">
        <v>632</v>
      </c>
      <c r="E13" s="13" t="s">
        <v>214</v>
      </c>
      <c r="F13" s="13" t="s">
        <v>633</v>
      </c>
    </row>
    <row r="14">
      <c r="A14" s="13" t="s">
        <v>634</v>
      </c>
      <c r="B14" s="13" t="s">
        <v>635</v>
      </c>
      <c r="C14" s="13" t="s">
        <v>636</v>
      </c>
      <c r="D14" s="13" t="s">
        <v>637</v>
      </c>
      <c r="E14" s="13" t="s">
        <v>214</v>
      </c>
      <c r="F14" s="13" t="s">
        <v>638</v>
      </c>
    </row>
    <row r="15">
      <c r="A15" s="13" t="s">
        <v>639</v>
      </c>
      <c r="B15" s="13" t="s">
        <v>640</v>
      </c>
      <c r="C15" s="13" t="s">
        <v>641</v>
      </c>
      <c r="D15" s="13" t="s">
        <v>642</v>
      </c>
      <c r="E15" s="13" t="s">
        <v>214</v>
      </c>
      <c r="F15" s="13" t="s">
        <v>643</v>
      </c>
    </row>
    <row r="16">
      <c r="A16" s="13" t="s">
        <v>644</v>
      </c>
      <c r="B16" s="13" t="s">
        <v>645</v>
      </c>
      <c r="C16" s="13" t="s">
        <v>50</v>
      </c>
      <c r="D16" s="13" t="s">
        <v>646</v>
      </c>
      <c r="E16" s="13" t="s">
        <v>50</v>
      </c>
      <c r="F16" s="13" t="s">
        <v>647</v>
      </c>
    </row>
    <row r="17">
      <c r="A17" s="13" t="s">
        <v>648</v>
      </c>
      <c r="B17" s="13" t="s">
        <v>649</v>
      </c>
      <c r="C17" s="13" t="s">
        <v>650</v>
      </c>
      <c r="D17" s="13" t="s">
        <v>651</v>
      </c>
      <c r="E17" s="13" t="s">
        <v>214</v>
      </c>
      <c r="F17" s="13" t="s">
        <v>652</v>
      </c>
    </row>
    <row r="18">
      <c r="A18" s="13" t="s">
        <v>653</v>
      </c>
      <c r="B18" s="13" t="s">
        <v>654</v>
      </c>
      <c r="C18" s="13" t="s">
        <v>50</v>
      </c>
      <c r="D18" s="13" t="s">
        <v>655</v>
      </c>
      <c r="E18" s="13" t="s">
        <v>50</v>
      </c>
      <c r="F18" s="13" t="s">
        <v>656</v>
      </c>
    </row>
    <row r="19">
      <c r="A19" s="13" t="s">
        <v>657</v>
      </c>
      <c r="B19" s="13" t="s">
        <v>658</v>
      </c>
      <c r="C19" s="13" t="s">
        <v>50</v>
      </c>
      <c r="D19" s="13" t="s">
        <v>659</v>
      </c>
      <c r="E19" s="13" t="s">
        <v>50</v>
      </c>
      <c r="F19" s="13" t="s">
        <v>660</v>
      </c>
    </row>
    <row r="20">
      <c r="A20" s="13" t="s">
        <v>661</v>
      </c>
      <c r="B20" s="13" t="s">
        <v>662</v>
      </c>
      <c r="C20" s="13" t="s">
        <v>663</v>
      </c>
      <c r="D20" s="13" t="s">
        <v>637</v>
      </c>
      <c r="E20" s="13" t="s">
        <v>214</v>
      </c>
      <c r="F20" s="13" t="s">
        <v>664</v>
      </c>
    </row>
    <row r="21" ht="15.75" customHeight="1">
      <c r="A21" s="13" t="s">
        <v>665</v>
      </c>
      <c r="B21" s="13" t="s">
        <v>666</v>
      </c>
      <c r="C21" s="13" t="s">
        <v>667</v>
      </c>
      <c r="D21" s="13" t="s">
        <v>668</v>
      </c>
      <c r="E21" s="13" t="s">
        <v>214</v>
      </c>
      <c r="F21" s="13" t="s">
        <v>669</v>
      </c>
    </row>
    <row r="22" ht="15.75" customHeight="1">
      <c r="A22" s="13" t="s">
        <v>670</v>
      </c>
      <c r="B22" s="13" t="s">
        <v>666</v>
      </c>
      <c r="C22" s="13" t="s">
        <v>50</v>
      </c>
      <c r="D22" s="13" t="s">
        <v>671</v>
      </c>
      <c r="E22" s="13" t="s">
        <v>214</v>
      </c>
      <c r="F22" s="13" t="s">
        <v>672</v>
      </c>
    </row>
    <row r="23" ht="15.75" customHeight="1">
      <c r="A23" s="13" t="s">
        <v>673</v>
      </c>
      <c r="B23" s="13" t="s">
        <v>674</v>
      </c>
      <c r="C23" s="13" t="s">
        <v>675</v>
      </c>
      <c r="D23" s="13" t="s">
        <v>676</v>
      </c>
      <c r="E23" s="13" t="s">
        <v>214</v>
      </c>
      <c r="F23" s="13" t="s">
        <v>677</v>
      </c>
    </row>
    <row r="24" ht="15.75" customHeight="1">
      <c r="A24" s="13" t="s">
        <v>678</v>
      </c>
      <c r="B24" s="13" t="s">
        <v>679</v>
      </c>
      <c r="C24" s="13" t="s">
        <v>680</v>
      </c>
      <c r="D24" s="13" t="s">
        <v>681</v>
      </c>
      <c r="E24" s="13" t="s">
        <v>50</v>
      </c>
      <c r="F24" s="13" t="s">
        <v>682</v>
      </c>
    </row>
    <row r="25" ht="15.75" customHeight="1">
      <c r="A25" s="13" t="s">
        <v>683</v>
      </c>
      <c r="B25" s="13" t="s">
        <v>50</v>
      </c>
      <c r="C25" s="13" t="s">
        <v>50</v>
      </c>
      <c r="D25" s="13" t="s">
        <v>684</v>
      </c>
      <c r="E25" s="13" t="s">
        <v>50</v>
      </c>
      <c r="F25" s="13" t="s">
        <v>685</v>
      </c>
    </row>
    <row r="26" ht="15.75" customHeight="1">
      <c r="A26" s="13"/>
      <c r="B26" s="13"/>
      <c r="C26" s="13"/>
      <c r="D26" s="13"/>
      <c r="E26" s="13"/>
      <c r="F26" s="13"/>
    </row>
    <row r="27" ht="15.75" customHeight="1">
      <c r="A27" s="13"/>
      <c r="B27" s="13"/>
      <c r="C27" s="13"/>
      <c r="D27" s="13"/>
      <c r="E27" s="13"/>
      <c r="F27" s="13"/>
    </row>
    <row r="28" ht="15.75" customHeight="1">
      <c r="A28" s="13"/>
      <c r="B28" s="13"/>
      <c r="C28" s="13"/>
      <c r="D28" s="13"/>
      <c r="E28" s="13"/>
      <c r="F28" s="13"/>
    </row>
    <row r="29" ht="15.75" customHeight="1">
      <c r="A29" s="13"/>
      <c r="B29" s="13"/>
      <c r="C29" s="13"/>
      <c r="D29" s="13"/>
      <c r="E29" s="13"/>
      <c r="F29" s="13"/>
    </row>
    <row r="30" ht="15.75" customHeight="1">
      <c r="A30" s="13"/>
      <c r="B30" s="13"/>
      <c r="C30" s="13"/>
      <c r="D30" s="13"/>
      <c r="E30" s="13"/>
      <c r="F30" s="13"/>
    </row>
    <row r="31" ht="15.75" customHeight="1">
      <c r="A31" s="13"/>
      <c r="B31" s="13"/>
      <c r="C31" s="13"/>
      <c r="D31" s="13"/>
      <c r="E31" s="13"/>
      <c r="F31" s="13"/>
    </row>
    <row r="32" ht="15.75" customHeight="1">
      <c r="A32" s="13"/>
      <c r="B32" s="13"/>
      <c r="C32" s="13"/>
      <c r="D32" s="13"/>
      <c r="E32" s="13"/>
      <c r="F32" s="13"/>
    </row>
    <row r="33" ht="15.75" customHeight="1">
      <c r="A33" s="13"/>
      <c r="B33" s="13"/>
      <c r="C33" s="13"/>
      <c r="D33" s="13"/>
      <c r="E33" s="13"/>
      <c r="F33" s="13"/>
    </row>
    <row r="34" ht="15.75" customHeight="1">
      <c r="A34" s="13"/>
      <c r="B34" s="13"/>
      <c r="C34" s="13"/>
      <c r="D34" s="13"/>
      <c r="E34" s="13"/>
      <c r="F34" s="13"/>
    </row>
    <row r="35" ht="15.75" customHeight="1">
      <c r="A35" s="13"/>
      <c r="B35" s="13"/>
      <c r="C35" s="13"/>
      <c r="D35" s="13"/>
      <c r="E35" s="13"/>
      <c r="F35" s="13"/>
    </row>
    <row r="36" ht="15.75" customHeight="1">
      <c r="A36" s="13"/>
      <c r="B36" s="13"/>
      <c r="C36" s="13"/>
      <c r="D36" s="13"/>
      <c r="E36" s="13"/>
      <c r="F36" s="13"/>
    </row>
    <row r="37" ht="15.75" customHeight="1">
      <c r="A37" s="13"/>
      <c r="B37" s="13"/>
      <c r="C37" s="13"/>
      <c r="D37" s="13"/>
      <c r="E37" s="13"/>
      <c r="F37" s="13"/>
    </row>
    <row r="38" ht="15.75" customHeight="1">
      <c r="A38" s="13"/>
      <c r="B38" s="13"/>
      <c r="C38" s="13"/>
      <c r="D38" s="13"/>
      <c r="E38" s="13"/>
      <c r="F38" s="13"/>
    </row>
    <row r="39" ht="15.75" customHeight="1">
      <c r="A39" s="13"/>
      <c r="B39" s="13"/>
      <c r="C39" s="13"/>
      <c r="D39" s="13"/>
      <c r="E39" s="13"/>
      <c r="F39" s="13"/>
    </row>
    <row r="40" ht="15.75" customHeight="1">
      <c r="A40" s="13"/>
      <c r="B40" s="13"/>
      <c r="C40" s="13"/>
      <c r="D40" s="13"/>
      <c r="E40" s="13"/>
      <c r="F40" s="13"/>
    </row>
    <row r="41" ht="15.75" customHeight="1">
      <c r="A41" s="13"/>
      <c r="B41" s="13"/>
      <c r="C41" s="13"/>
      <c r="D41" s="13"/>
      <c r="E41" s="13"/>
      <c r="F41" s="13"/>
    </row>
    <row r="42" ht="15.75" customHeight="1">
      <c r="A42" s="13"/>
      <c r="B42" s="13"/>
      <c r="C42" s="13"/>
      <c r="D42" s="13"/>
      <c r="E42" s="13"/>
      <c r="F42" s="13"/>
    </row>
    <row r="43" ht="15.75" customHeight="1">
      <c r="A43" s="13"/>
      <c r="B43" s="13"/>
      <c r="C43" s="13"/>
      <c r="D43" s="13"/>
      <c r="E43" s="13"/>
      <c r="F43" s="13"/>
    </row>
    <row r="44" ht="15.75" customHeight="1">
      <c r="A44" s="13"/>
      <c r="B44" s="13"/>
      <c r="C44" s="13"/>
      <c r="D44" s="13"/>
      <c r="E44" s="13"/>
      <c r="F44" s="13"/>
    </row>
    <row r="45" ht="15.75" customHeight="1">
      <c r="A45" s="13"/>
      <c r="B45" s="13"/>
      <c r="C45" s="13"/>
      <c r="D45" s="13"/>
      <c r="E45" s="13"/>
      <c r="F45" s="13"/>
    </row>
    <row r="46" ht="15.75" customHeight="1">
      <c r="A46" s="13"/>
      <c r="B46" s="13"/>
      <c r="C46" s="13"/>
      <c r="D46" s="13"/>
      <c r="E46" s="13"/>
      <c r="F46" s="13"/>
    </row>
    <row r="47" ht="15.75" customHeight="1">
      <c r="A47" s="13"/>
      <c r="B47" s="13"/>
      <c r="C47" s="13"/>
      <c r="D47" s="13"/>
      <c r="E47" s="13"/>
      <c r="F47" s="13"/>
    </row>
    <row r="48" ht="15.75" customHeight="1">
      <c r="A48" s="13"/>
      <c r="B48" s="13"/>
      <c r="C48" s="13"/>
      <c r="D48" s="13"/>
      <c r="E48" s="13"/>
      <c r="F48" s="13"/>
    </row>
    <row r="49" ht="15.75" customHeight="1">
      <c r="A49" s="13"/>
      <c r="B49" s="13"/>
      <c r="C49" s="13"/>
      <c r="D49" s="13"/>
      <c r="E49" s="13"/>
      <c r="F49" s="13"/>
    </row>
    <row r="50" ht="15.75" customHeight="1">
      <c r="A50" s="13"/>
      <c r="B50" s="13"/>
      <c r="C50" s="13"/>
      <c r="D50" s="13"/>
      <c r="E50" s="13"/>
      <c r="F50" s="13"/>
    </row>
    <row r="51" ht="15.75" customHeight="1">
      <c r="A51" s="13"/>
      <c r="B51" s="13"/>
      <c r="C51" s="13"/>
      <c r="D51" s="13"/>
      <c r="E51" s="13"/>
      <c r="F51" s="13"/>
    </row>
    <row r="52" ht="15.75" customHeight="1">
      <c r="A52" s="13"/>
      <c r="B52" s="13"/>
      <c r="C52" s="13"/>
      <c r="D52" s="13"/>
      <c r="E52" s="13"/>
      <c r="F52" s="13"/>
    </row>
    <row r="53" ht="15.75" customHeight="1">
      <c r="A53" s="13"/>
      <c r="B53" s="13"/>
      <c r="C53" s="13"/>
      <c r="D53" s="13"/>
      <c r="E53" s="13"/>
      <c r="F53" s="13"/>
    </row>
    <row r="54" ht="15.75" customHeight="1">
      <c r="A54" s="13"/>
      <c r="B54" s="13"/>
      <c r="C54" s="13"/>
      <c r="D54" s="13"/>
      <c r="E54" s="13"/>
      <c r="F54" s="13"/>
    </row>
    <row r="55" ht="15.75" customHeight="1">
      <c r="A55" s="13"/>
      <c r="B55" s="13"/>
      <c r="C55" s="13"/>
      <c r="D55" s="13"/>
      <c r="E55" s="13"/>
      <c r="F55" s="13"/>
    </row>
    <row r="56" ht="15.75" customHeight="1">
      <c r="A56" s="13"/>
      <c r="B56" s="13"/>
      <c r="C56" s="13"/>
      <c r="D56" s="13"/>
      <c r="E56" s="13"/>
      <c r="F56" s="13"/>
    </row>
    <row r="57" ht="15.75" customHeight="1">
      <c r="A57" s="13"/>
      <c r="B57" s="13"/>
      <c r="C57" s="13"/>
      <c r="D57" s="13"/>
      <c r="E57" s="13"/>
      <c r="F57" s="13"/>
    </row>
    <row r="58" ht="15.75" customHeight="1">
      <c r="A58" s="13"/>
      <c r="B58" s="13"/>
      <c r="C58" s="13"/>
      <c r="D58" s="13"/>
      <c r="E58" s="13"/>
      <c r="F58" s="13"/>
    </row>
    <row r="59" ht="15.75" customHeight="1">
      <c r="A59" s="13"/>
      <c r="B59" s="13"/>
      <c r="C59" s="13"/>
      <c r="D59" s="13"/>
      <c r="E59" s="13"/>
      <c r="F59" s="13"/>
    </row>
    <row r="60" ht="15.75" customHeight="1">
      <c r="A60" s="13"/>
      <c r="B60" s="13"/>
      <c r="C60" s="13"/>
      <c r="D60" s="13"/>
      <c r="E60" s="13"/>
      <c r="F60" s="13"/>
    </row>
    <row r="61" ht="15.75" customHeight="1">
      <c r="A61" s="13"/>
      <c r="B61" s="13"/>
      <c r="C61" s="13"/>
      <c r="D61" s="13"/>
      <c r="E61" s="13"/>
      <c r="F61" s="13"/>
    </row>
    <row r="62" ht="15.75" customHeight="1">
      <c r="A62" s="13"/>
      <c r="B62" s="13"/>
      <c r="C62" s="13"/>
      <c r="D62" s="13"/>
      <c r="E62" s="13"/>
      <c r="F62" s="13"/>
    </row>
    <row r="63" ht="15.75" customHeight="1">
      <c r="A63" s="13"/>
      <c r="B63" s="13"/>
      <c r="C63" s="13"/>
      <c r="D63" s="13"/>
      <c r="E63" s="13"/>
      <c r="F63" s="13"/>
    </row>
    <row r="64" ht="15.75" customHeight="1">
      <c r="A64" s="13"/>
      <c r="B64" s="13"/>
      <c r="C64" s="13"/>
      <c r="D64" s="13"/>
      <c r="E64" s="13"/>
      <c r="F64" s="13"/>
    </row>
    <row r="65" ht="15.75" customHeight="1">
      <c r="A65" s="13"/>
      <c r="B65" s="13"/>
      <c r="C65" s="13"/>
      <c r="D65" s="13"/>
      <c r="E65" s="13"/>
      <c r="F65" s="13"/>
    </row>
    <row r="66" ht="15.75" customHeight="1">
      <c r="A66" s="13"/>
      <c r="B66" s="13"/>
      <c r="C66" s="13"/>
      <c r="D66" s="13"/>
      <c r="E66" s="13"/>
      <c r="F66" s="13"/>
    </row>
    <row r="67" ht="15.75" customHeight="1">
      <c r="A67" s="13"/>
      <c r="B67" s="13"/>
      <c r="C67" s="13"/>
      <c r="D67" s="13"/>
      <c r="E67" s="13"/>
      <c r="F67" s="13"/>
    </row>
    <row r="68" ht="15.75" customHeight="1">
      <c r="A68" s="13"/>
      <c r="B68" s="13"/>
      <c r="C68" s="13"/>
      <c r="D68" s="13"/>
      <c r="E68" s="13"/>
      <c r="F68" s="13"/>
    </row>
    <row r="69" ht="15.75" customHeight="1">
      <c r="A69" s="13"/>
      <c r="B69" s="13"/>
      <c r="C69" s="13"/>
      <c r="D69" s="13"/>
      <c r="E69" s="13"/>
      <c r="F69" s="13"/>
    </row>
    <row r="70" ht="15.75" customHeight="1">
      <c r="A70" s="13"/>
      <c r="B70" s="13"/>
      <c r="C70" s="13"/>
      <c r="D70" s="13"/>
      <c r="E70" s="13"/>
      <c r="F70" s="13"/>
    </row>
    <row r="71" ht="15.75" customHeight="1">
      <c r="A71" s="13"/>
      <c r="B71" s="13"/>
      <c r="C71" s="13"/>
      <c r="D71" s="13"/>
      <c r="E71" s="13"/>
      <c r="F71" s="13"/>
    </row>
    <row r="72" ht="15.75" customHeight="1">
      <c r="A72" s="13"/>
      <c r="B72" s="13"/>
      <c r="C72" s="13"/>
      <c r="D72" s="13"/>
      <c r="E72" s="13"/>
      <c r="F72" s="13"/>
    </row>
    <row r="73" ht="15.75" customHeight="1">
      <c r="A73" s="13"/>
      <c r="B73" s="13"/>
      <c r="C73" s="13"/>
      <c r="D73" s="13"/>
      <c r="E73" s="13"/>
      <c r="F73" s="13"/>
    </row>
    <row r="74" ht="15.75" customHeight="1">
      <c r="A74" s="13"/>
      <c r="B74" s="13"/>
      <c r="C74" s="13"/>
      <c r="D74" s="13"/>
      <c r="E74" s="13"/>
      <c r="F74" s="13"/>
    </row>
    <row r="75" ht="15.75" customHeight="1">
      <c r="A75" s="13"/>
      <c r="B75" s="13"/>
      <c r="C75" s="13"/>
      <c r="D75" s="13"/>
      <c r="E75" s="13"/>
      <c r="F75" s="13"/>
    </row>
    <row r="76" ht="15.75" customHeight="1">
      <c r="A76" s="13"/>
      <c r="B76" s="13"/>
      <c r="C76" s="13"/>
      <c r="D76" s="13"/>
      <c r="E76" s="13"/>
      <c r="F76" s="13"/>
    </row>
    <row r="77" ht="15.75" customHeight="1">
      <c r="A77" s="13"/>
      <c r="B77" s="13"/>
      <c r="C77" s="13"/>
      <c r="D77" s="13"/>
      <c r="E77" s="13"/>
      <c r="F77" s="13"/>
    </row>
    <row r="78" ht="15.75" customHeight="1">
      <c r="A78" s="13"/>
      <c r="B78" s="13"/>
      <c r="C78" s="13"/>
      <c r="D78" s="13"/>
      <c r="E78" s="13"/>
      <c r="F78" s="13"/>
    </row>
    <row r="79" ht="15.75" customHeight="1">
      <c r="A79" s="13"/>
      <c r="B79" s="13"/>
      <c r="C79" s="13"/>
      <c r="D79" s="13"/>
      <c r="E79" s="13"/>
      <c r="F79" s="13"/>
    </row>
    <row r="80" ht="15.75" customHeight="1">
      <c r="A80" s="13"/>
      <c r="B80" s="13"/>
      <c r="C80" s="13"/>
      <c r="D80" s="13"/>
      <c r="E80" s="13"/>
      <c r="F80" s="13"/>
    </row>
    <row r="81" ht="15.75" customHeight="1">
      <c r="A81" s="13"/>
      <c r="B81" s="13"/>
      <c r="C81" s="13"/>
      <c r="D81" s="13"/>
      <c r="E81" s="13"/>
      <c r="F81" s="13"/>
    </row>
    <row r="82" ht="15.75" customHeight="1">
      <c r="A82" s="13"/>
      <c r="B82" s="13"/>
      <c r="C82" s="13"/>
      <c r="D82" s="13"/>
      <c r="E82" s="13"/>
      <c r="F82" s="13"/>
    </row>
    <row r="83" ht="15.75" customHeight="1">
      <c r="A83" s="13"/>
      <c r="B83" s="13"/>
      <c r="C83" s="13"/>
      <c r="D83" s="13"/>
      <c r="E83" s="13"/>
      <c r="F83" s="13"/>
    </row>
    <row r="84" ht="15.75" customHeight="1">
      <c r="A84" s="13"/>
      <c r="B84" s="13"/>
      <c r="C84" s="13"/>
      <c r="D84" s="13"/>
      <c r="E84" s="13"/>
      <c r="F84" s="13"/>
    </row>
    <row r="85" ht="15.75" customHeight="1">
      <c r="A85" s="13"/>
      <c r="B85" s="13"/>
      <c r="C85" s="13"/>
      <c r="D85" s="13"/>
      <c r="E85" s="13"/>
      <c r="F85" s="13"/>
    </row>
    <row r="86" ht="15.75" customHeight="1">
      <c r="A86" s="13"/>
      <c r="B86" s="13"/>
      <c r="C86" s="13"/>
      <c r="D86" s="13"/>
      <c r="E86" s="13"/>
      <c r="F86" s="13"/>
    </row>
    <row r="87" ht="15.75" customHeight="1">
      <c r="A87" s="13"/>
      <c r="B87" s="13"/>
      <c r="C87" s="13"/>
      <c r="D87" s="13"/>
      <c r="E87" s="13"/>
      <c r="F87" s="13"/>
    </row>
    <row r="88" ht="15.75" customHeight="1">
      <c r="A88" s="13"/>
      <c r="B88" s="13"/>
      <c r="C88" s="13"/>
      <c r="D88" s="13"/>
      <c r="E88" s="13"/>
      <c r="F88" s="13"/>
    </row>
    <row r="89" ht="15.75" customHeight="1">
      <c r="A89" s="13"/>
      <c r="B89" s="13"/>
      <c r="C89" s="13"/>
      <c r="D89" s="13"/>
      <c r="E89" s="13"/>
      <c r="F89" s="13"/>
    </row>
    <row r="90" ht="15.75" customHeight="1">
      <c r="A90" s="13"/>
      <c r="B90" s="13"/>
      <c r="C90" s="13"/>
      <c r="D90" s="13"/>
      <c r="E90" s="13"/>
      <c r="F90" s="13"/>
    </row>
    <row r="91" ht="15.75" customHeight="1">
      <c r="A91" s="13"/>
      <c r="B91" s="13"/>
      <c r="C91" s="13"/>
      <c r="D91" s="13"/>
      <c r="E91" s="13"/>
      <c r="F91" s="13"/>
    </row>
    <row r="92" ht="15.75" customHeight="1">
      <c r="A92" s="13"/>
      <c r="B92" s="13"/>
      <c r="C92" s="13"/>
      <c r="D92" s="13"/>
      <c r="E92" s="13"/>
      <c r="F92" s="13"/>
    </row>
    <row r="93" ht="15.75" customHeight="1">
      <c r="A93" s="13"/>
      <c r="B93" s="13"/>
      <c r="C93" s="13"/>
      <c r="D93" s="13"/>
      <c r="E93" s="13"/>
      <c r="F93" s="13"/>
    </row>
    <row r="94" ht="15.75" customHeight="1">
      <c r="A94" s="13"/>
      <c r="B94" s="13"/>
      <c r="C94" s="13"/>
      <c r="D94" s="13"/>
      <c r="E94" s="13"/>
      <c r="F94" s="13"/>
    </row>
    <row r="95" ht="15.75" customHeight="1">
      <c r="A95" s="13"/>
      <c r="B95" s="13"/>
      <c r="C95" s="13"/>
      <c r="D95" s="13"/>
      <c r="E95" s="13"/>
      <c r="F95" s="13"/>
    </row>
    <row r="96" ht="15.75" customHeight="1">
      <c r="A96" s="13"/>
      <c r="B96" s="13"/>
      <c r="C96" s="13"/>
      <c r="D96" s="13"/>
      <c r="E96" s="13"/>
      <c r="F96" s="13"/>
    </row>
    <row r="97" ht="15.75" customHeight="1">
      <c r="A97" s="13"/>
      <c r="B97" s="13"/>
      <c r="C97" s="13"/>
      <c r="D97" s="13"/>
      <c r="E97" s="13"/>
      <c r="F97" s="13"/>
    </row>
    <row r="98" ht="15.75" customHeight="1">
      <c r="A98" s="13"/>
      <c r="B98" s="13"/>
      <c r="C98" s="13"/>
      <c r="D98" s="13"/>
      <c r="E98" s="13"/>
      <c r="F98" s="13"/>
    </row>
    <row r="99" ht="15.75" customHeight="1">
      <c r="A99" s="13"/>
      <c r="B99" s="13"/>
      <c r="C99" s="13"/>
      <c r="D99" s="13"/>
      <c r="E99" s="13"/>
      <c r="F99" s="13"/>
    </row>
    <row r="100" ht="15.75" customHeight="1">
      <c r="A100" s="13"/>
      <c r="B100" s="13"/>
      <c r="C100" s="13"/>
      <c r="D100" s="13"/>
      <c r="E100" s="13"/>
      <c r="F100" s="13"/>
    </row>
    <row r="101" ht="15.75" customHeight="1">
      <c r="A101" s="14"/>
      <c r="B101" s="14"/>
      <c r="C101" s="14"/>
      <c r="D101" s="14"/>
      <c r="E101" s="14"/>
      <c r="F101" s="14"/>
    </row>
    <row r="102" ht="15.75" customHeight="1">
      <c r="A102" s="14"/>
      <c r="B102" s="14"/>
      <c r="C102" s="14"/>
      <c r="D102" s="14"/>
      <c r="E102" s="14"/>
      <c r="F102" s="14"/>
    </row>
    <row r="103" ht="15.75" customHeight="1">
      <c r="A103" s="14"/>
      <c r="B103" s="14"/>
      <c r="C103" s="14"/>
      <c r="D103" s="14"/>
      <c r="E103" s="14"/>
      <c r="F103" s="14"/>
    </row>
    <row r="104" ht="15.75" customHeight="1">
      <c r="A104" s="14"/>
      <c r="B104" s="14"/>
      <c r="C104" s="14"/>
      <c r="D104" s="14"/>
      <c r="E104" s="14"/>
      <c r="F104" s="14"/>
    </row>
    <row r="105" ht="15.75" customHeight="1">
      <c r="A105" s="14"/>
      <c r="B105" s="14"/>
      <c r="C105" s="14"/>
      <c r="D105" s="14"/>
      <c r="E105" s="14"/>
      <c r="F105" s="14"/>
    </row>
    <row r="106" ht="15.75" customHeight="1">
      <c r="A106" s="14"/>
      <c r="B106" s="14"/>
      <c r="C106" s="14"/>
      <c r="D106" s="14"/>
      <c r="E106" s="14"/>
      <c r="F106" s="14"/>
    </row>
    <row r="107" ht="15.75" customHeight="1">
      <c r="A107" s="14"/>
      <c r="B107" s="14"/>
      <c r="C107" s="14"/>
      <c r="D107" s="14"/>
      <c r="E107" s="14"/>
      <c r="F107" s="14"/>
    </row>
    <row r="108" ht="15.75" customHeight="1">
      <c r="A108" s="14"/>
      <c r="B108" s="14"/>
      <c r="C108" s="14"/>
      <c r="D108" s="14"/>
      <c r="E108" s="14"/>
      <c r="F108" s="14"/>
    </row>
    <row r="109" ht="15.75" customHeight="1">
      <c r="A109" s="14"/>
      <c r="B109" s="14"/>
      <c r="C109" s="14"/>
      <c r="D109" s="14"/>
      <c r="E109" s="14"/>
      <c r="F109" s="14"/>
    </row>
    <row r="110" ht="15.75" customHeight="1">
      <c r="A110" s="14"/>
      <c r="B110" s="14"/>
      <c r="C110" s="14"/>
      <c r="D110" s="14"/>
      <c r="E110" s="14"/>
      <c r="F110" s="14"/>
    </row>
    <row r="111" ht="15.75" customHeight="1">
      <c r="A111" s="14"/>
      <c r="B111" s="14"/>
      <c r="C111" s="14"/>
      <c r="D111" s="14"/>
      <c r="E111" s="14"/>
      <c r="F111" s="14"/>
    </row>
    <row r="112" ht="15.75" customHeight="1">
      <c r="A112" s="14"/>
      <c r="B112" s="14"/>
      <c r="C112" s="14"/>
      <c r="D112" s="14"/>
      <c r="E112" s="14"/>
      <c r="F112" s="14"/>
    </row>
    <row r="113" ht="15.75" customHeight="1">
      <c r="A113" s="14"/>
      <c r="B113" s="14"/>
      <c r="C113" s="14"/>
      <c r="D113" s="14"/>
      <c r="E113" s="14"/>
      <c r="F113" s="14"/>
    </row>
    <row r="114" ht="15.75" customHeight="1">
      <c r="A114" s="14"/>
      <c r="B114" s="14"/>
      <c r="C114" s="14"/>
      <c r="D114" s="14"/>
      <c r="E114" s="14"/>
      <c r="F114" s="14"/>
    </row>
    <row r="115" ht="15.75" customHeight="1">
      <c r="A115" s="14"/>
      <c r="B115" s="14"/>
      <c r="C115" s="14"/>
      <c r="D115" s="14"/>
      <c r="E115" s="14"/>
      <c r="F115" s="14"/>
    </row>
    <row r="116" ht="15.75" customHeight="1">
      <c r="A116" s="14"/>
      <c r="B116" s="14"/>
      <c r="C116" s="14"/>
      <c r="D116" s="14"/>
      <c r="E116" s="14"/>
      <c r="F116" s="14"/>
    </row>
    <row r="117" ht="15.75" customHeight="1">
      <c r="A117" s="14"/>
      <c r="B117" s="14"/>
      <c r="C117" s="14"/>
      <c r="D117" s="14"/>
      <c r="E117" s="14"/>
      <c r="F117" s="14"/>
    </row>
    <row r="118" ht="15.75" customHeight="1">
      <c r="A118" s="14"/>
      <c r="B118" s="14"/>
      <c r="C118" s="14"/>
      <c r="D118" s="14"/>
      <c r="E118" s="14"/>
      <c r="F118" s="14"/>
    </row>
    <row r="119" ht="15.75" customHeight="1">
      <c r="A119" s="14"/>
      <c r="B119" s="14"/>
      <c r="C119" s="14"/>
      <c r="D119" s="14"/>
      <c r="E119" s="14"/>
      <c r="F119" s="14"/>
    </row>
    <row r="120" ht="15.75" customHeight="1">
      <c r="A120" s="14"/>
      <c r="B120" s="14"/>
      <c r="C120" s="14"/>
      <c r="D120" s="14"/>
      <c r="E120" s="14"/>
      <c r="F120" s="14"/>
    </row>
    <row r="121" ht="15.75" customHeight="1">
      <c r="A121" s="14"/>
      <c r="B121" s="14"/>
      <c r="C121" s="14"/>
      <c r="D121" s="14"/>
      <c r="E121" s="14"/>
      <c r="F121" s="14"/>
    </row>
    <row r="122" ht="15.75" customHeight="1">
      <c r="A122" s="14"/>
      <c r="B122" s="14"/>
      <c r="C122" s="14"/>
      <c r="D122" s="14"/>
      <c r="E122" s="14"/>
      <c r="F122" s="14"/>
    </row>
    <row r="123" ht="15.75" customHeight="1">
      <c r="A123" s="14"/>
      <c r="B123" s="14"/>
      <c r="C123" s="14"/>
      <c r="D123" s="14"/>
      <c r="E123" s="14"/>
      <c r="F123" s="14"/>
    </row>
    <row r="124" ht="15.75" customHeight="1">
      <c r="A124" s="14"/>
      <c r="B124" s="14"/>
      <c r="C124" s="14"/>
      <c r="D124" s="14"/>
      <c r="E124" s="14"/>
      <c r="F124" s="14"/>
    </row>
    <row r="125" ht="15.75" customHeight="1">
      <c r="A125" s="14"/>
      <c r="B125" s="14"/>
      <c r="C125" s="14"/>
      <c r="D125" s="14"/>
      <c r="E125" s="14"/>
      <c r="F125" s="14"/>
    </row>
    <row r="126" ht="15.75" customHeight="1">
      <c r="A126" s="14"/>
      <c r="B126" s="14"/>
      <c r="C126" s="14"/>
      <c r="D126" s="14"/>
      <c r="E126" s="14"/>
      <c r="F126" s="14"/>
    </row>
    <row r="127" ht="15.75" customHeight="1">
      <c r="A127" s="14"/>
      <c r="B127" s="14"/>
      <c r="C127" s="14"/>
      <c r="D127" s="14"/>
      <c r="E127" s="14"/>
      <c r="F127" s="14"/>
    </row>
    <row r="128" ht="15.75" customHeight="1">
      <c r="A128" s="14"/>
      <c r="B128" s="14"/>
      <c r="C128" s="14"/>
      <c r="D128" s="14"/>
      <c r="E128" s="14"/>
      <c r="F128" s="14"/>
    </row>
    <row r="129" ht="15.75" customHeight="1">
      <c r="A129" s="14"/>
      <c r="B129" s="14"/>
      <c r="C129" s="14"/>
      <c r="D129" s="14"/>
      <c r="E129" s="14"/>
      <c r="F129" s="14"/>
    </row>
    <row r="130" ht="15.75" customHeight="1">
      <c r="A130" s="14"/>
      <c r="B130" s="14"/>
      <c r="C130" s="14"/>
      <c r="D130" s="14"/>
      <c r="E130" s="14"/>
      <c r="F130" s="14"/>
    </row>
    <row r="131" ht="15.75" customHeight="1">
      <c r="A131" s="14"/>
      <c r="B131" s="14"/>
      <c r="C131" s="14"/>
      <c r="D131" s="14"/>
      <c r="E131" s="14"/>
      <c r="F131" s="14"/>
    </row>
    <row r="132" ht="15.75" customHeight="1">
      <c r="A132" s="14"/>
      <c r="B132" s="14"/>
      <c r="C132" s="14"/>
      <c r="D132" s="14"/>
      <c r="E132" s="14"/>
      <c r="F132" s="14"/>
    </row>
    <row r="133" ht="15.75" customHeight="1">
      <c r="A133" s="14"/>
      <c r="B133" s="14"/>
      <c r="C133" s="14"/>
      <c r="D133" s="14"/>
      <c r="E133" s="14"/>
      <c r="F133" s="14"/>
    </row>
    <row r="134" ht="15.75" customHeight="1">
      <c r="A134" s="14"/>
      <c r="B134" s="14"/>
      <c r="C134" s="14"/>
      <c r="D134" s="14"/>
      <c r="E134" s="14"/>
      <c r="F134" s="14"/>
    </row>
    <row r="135" ht="15.75" customHeight="1">
      <c r="A135" s="14"/>
      <c r="B135" s="14"/>
      <c r="C135" s="14"/>
      <c r="D135" s="14"/>
      <c r="E135" s="14"/>
      <c r="F135" s="14"/>
    </row>
    <row r="136" ht="15.75" customHeight="1">
      <c r="A136" s="14"/>
      <c r="B136" s="14"/>
      <c r="C136" s="14"/>
      <c r="D136" s="14"/>
      <c r="E136" s="14"/>
      <c r="F136" s="14"/>
    </row>
    <row r="137" ht="15.75" customHeight="1">
      <c r="A137" s="14"/>
      <c r="B137" s="14"/>
      <c r="C137" s="14"/>
      <c r="D137" s="14"/>
      <c r="E137" s="14"/>
      <c r="F137" s="14"/>
    </row>
    <row r="138" ht="15.75" customHeight="1">
      <c r="A138" s="14"/>
      <c r="B138" s="14"/>
      <c r="C138" s="14"/>
      <c r="D138" s="14"/>
      <c r="E138" s="14"/>
      <c r="F138" s="14"/>
    </row>
    <row r="139" ht="15.75" customHeight="1">
      <c r="A139" s="14"/>
      <c r="B139" s="14"/>
      <c r="C139" s="14"/>
      <c r="D139" s="14"/>
      <c r="E139" s="14"/>
      <c r="F139" s="14"/>
    </row>
    <row r="140" ht="15.75" customHeight="1">
      <c r="A140" s="14"/>
      <c r="B140" s="14"/>
      <c r="C140" s="14"/>
      <c r="D140" s="14"/>
      <c r="E140" s="14"/>
      <c r="F140" s="14"/>
    </row>
    <row r="141" ht="15.75" customHeight="1">
      <c r="A141" s="14"/>
      <c r="B141" s="14"/>
      <c r="C141" s="14"/>
      <c r="D141" s="14"/>
      <c r="E141" s="14"/>
      <c r="F141" s="14"/>
    </row>
    <row r="142" ht="15.75" customHeight="1">
      <c r="A142" s="14"/>
      <c r="B142" s="14"/>
      <c r="C142" s="14"/>
      <c r="D142" s="14"/>
      <c r="E142" s="14"/>
      <c r="F142" s="14"/>
    </row>
    <row r="143" ht="15.75" customHeight="1">
      <c r="A143" s="14"/>
      <c r="B143" s="14"/>
      <c r="C143" s="14"/>
      <c r="D143" s="14"/>
      <c r="E143" s="14"/>
      <c r="F143" s="14"/>
    </row>
    <row r="144" ht="15.75" customHeight="1">
      <c r="A144" s="14"/>
      <c r="B144" s="14"/>
      <c r="C144" s="14"/>
      <c r="D144" s="14"/>
      <c r="E144" s="14"/>
      <c r="F144" s="14"/>
    </row>
    <row r="145" ht="15.75" customHeight="1">
      <c r="A145" s="14"/>
      <c r="B145" s="14"/>
      <c r="C145" s="14"/>
      <c r="D145" s="14"/>
      <c r="E145" s="14"/>
      <c r="F145" s="14"/>
    </row>
    <row r="146" ht="15.75" customHeight="1">
      <c r="A146" s="14"/>
      <c r="B146" s="14"/>
      <c r="C146" s="14"/>
      <c r="D146" s="14"/>
      <c r="E146" s="14"/>
      <c r="F146" s="14"/>
    </row>
    <row r="147" ht="15.75" customHeight="1">
      <c r="A147" s="14"/>
      <c r="B147" s="14"/>
      <c r="C147" s="14"/>
      <c r="D147" s="14"/>
      <c r="E147" s="14"/>
      <c r="F147" s="14"/>
    </row>
    <row r="148" ht="15.75" customHeight="1">
      <c r="A148" s="14"/>
      <c r="B148" s="14"/>
      <c r="C148" s="14"/>
      <c r="D148" s="14"/>
      <c r="E148" s="14"/>
      <c r="F148" s="14"/>
    </row>
    <row r="149" ht="15.75" customHeight="1">
      <c r="A149" s="14"/>
      <c r="B149" s="14"/>
      <c r="C149" s="14"/>
      <c r="D149" s="14"/>
      <c r="E149" s="14"/>
      <c r="F149" s="14"/>
    </row>
    <row r="150" ht="15.75" customHeight="1">
      <c r="A150" s="14"/>
      <c r="B150" s="14"/>
      <c r="C150" s="14"/>
      <c r="D150" s="14"/>
      <c r="E150" s="14"/>
      <c r="F150" s="14"/>
    </row>
    <row r="151" ht="15.75" customHeight="1">
      <c r="A151" s="14"/>
      <c r="B151" s="14"/>
      <c r="C151" s="14"/>
      <c r="D151" s="14"/>
      <c r="E151" s="14"/>
      <c r="F151" s="14"/>
    </row>
    <row r="152" ht="15.75" customHeight="1">
      <c r="A152" s="14"/>
      <c r="B152" s="14"/>
      <c r="C152" s="14"/>
      <c r="D152" s="14"/>
      <c r="E152" s="14"/>
      <c r="F152" s="14"/>
    </row>
    <row r="153" ht="15.75" customHeight="1">
      <c r="A153" s="14"/>
      <c r="B153" s="14"/>
      <c r="C153" s="14"/>
      <c r="D153" s="14"/>
      <c r="E153" s="14"/>
      <c r="F153" s="14"/>
    </row>
    <row r="154" ht="15.75" customHeight="1">
      <c r="A154" s="14"/>
      <c r="B154" s="14"/>
      <c r="C154" s="14"/>
      <c r="D154" s="14"/>
      <c r="E154" s="14"/>
      <c r="F154" s="14"/>
    </row>
    <row r="155" ht="15.75" customHeight="1">
      <c r="A155" s="14"/>
      <c r="B155" s="14"/>
      <c r="C155" s="14"/>
      <c r="D155" s="14"/>
      <c r="E155" s="14"/>
      <c r="F155" s="14"/>
    </row>
    <row r="156" ht="15.75" customHeight="1">
      <c r="A156" s="14"/>
      <c r="B156" s="14"/>
      <c r="C156" s="14"/>
      <c r="D156" s="14"/>
      <c r="E156" s="14"/>
      <c r="F156" s="14"/>
    </row>
    <row r="157" ht="15.75" customHeight="1">
      <c r="A157" s="14"/>
      <c r="B157" s="14"/>
      <c r="C157" s="14"/>
      <c r="D157" s="14"/>
      <c r="E157" s="14"/>
      <c r="F157" s="14"/>
    </row>
    <row r="158" ht="15.75" customHeight="1">
      <c r="A158" s="14"/>
      <c r="B158" s="14"/>
      <c r="C158" s="14"/>
      <c r="D158" s="14"/>
      <c r="E158" s="14"/>
      <c r="F158" s="14"/>
    </row>
    <row r="159" ht="15.75" customHeight="1">
      <c r="A159" s="14"/>
      <c r="B159" s="14"/>
      <c r="C159" s="14"/>
      <c r="D159" s="14"/>
      <c r="E159" s="14"/>
      <c r="F159" s="14"/>
    </row>
    <row r="160" ht="15.75" customHeight="1">
      <c r="A160" s="14"/>
      <c r="B160" s="14"/>
      <c r="C160" s="14"/>
      <c r="D160" s="14"/>
      <c r="E160" s="14"/>
      <c r="F160" s="14"/>
    </row>
    <row r="161" ht="15.75" customHeight="1">
      <c r="A161" s="14"/>
      <c r="B161" s="14"/>
      <c r="C161" s="14"/>
      <c r="D161" s="14"/>
      <c r="E161" s="14"/>
      <c r="F161" s="14"/>
    </row>
    <row r="162" ht="15.75" customHeight="1">
      <c r="A162" s="14"/>
      <c r="B162" s="14"/>
      <c r="C162" s="14"/>
      <c r="D162" s="14"/>
      <c r="E162" s="14"/>
      <c r="F162" s="14"/>
    </row>
    <row r="163" ht="15.75" customHeight="1">
      <c r="A163" s="14"/>
      <c r="B163" s="14"/>
      <c r="C163" s="14"/>
      <c r="D163" s="14"/>
      <c r="E163" s="14"/>
      <c r="F163" s="14"/>
    </row>
    <row r="164" ht="15.75" customHeight="1">
      <c r="A164" s="14"/>
      <c r="B164" s="14"/>
      <c r="C164" s="14"/>
      <c r="D164" s="14"/>
      <c r="E164" s="14"/>
      <c r="F164" s="14"/>
    </row>
    <row r="165" ht="15.75" customHeight="1">
      <c r="A165" s="14"/>
      <c r="B165" s="14"/>
      <c r="C165" s="14"/>
      <c r="D165" s="14"/>
      <c r="E165" s="14"/>
      <c r="F165" s="14"/>
    </row>
    <row r="166" ht="15.75" customHeight="1">
      <c r="A166" s="14"/>
      <c r="B166" s="14"/>
      <c r="C166" s="14"/>
      <c r="D166" s="14"/>
      <c r="E166" s="14"/>
      <c r="F166" s="14"/>
    </row>
    <row r="167" ht="15.75" customHeight="1">
      <c r="A167" s="14"/>
      <c r="B167" s="14"/>
      <c r="C167" s="14"/>
      <c r="D167" s="14"/>
      <c r="E167" s="14"/>
      <c r="F167" s="14"/>
    </row>
    <row r="168" ht="15.75" customHeight="1">
      <c r="A168" s="14"/>
      <c r="B168" s="14"/>
      <c r="C168" s="14"/>
      <c r="D168" s="14"/>
      <c r="E168" s="14"/>
      <c r="F168" s="14"/>
    </row>
    <row r="169" ht="15.75" customHeight="1">
      <c r="A169" s="14"/>
      <c r="B169" s="14"/>
      <c r="C169" s="14"/>
      <c r="D169" s="14"/>
      <c r="E169" s="14"/>
      <c r="F169" s="14"/>
    </row>
    <row r="170" ht="15.75" customHeight="1">
      <c r="A170" s="14"/>
      <c r="B170" s="14"/>
      <c r="C170" s="14"/>
      <c r="D170" s="14"/>
      <c r="E170" s="14"/>
      <c r="F170" s="14"/>
    </row>
    <row r="171" ht="15.75" customHeight="1">
      <c r="A171" s="14"/>
      <c r="B171" s="14"/>
      <c r="C171" s="14"/>
      <c r="D171" s="14"/>
      <c r="E171" s="14"/>
      <c r="F171" s="14"/>
    </row>
    <row r="172" ht="15.75" customHeight="1">
      <c r="A172" s="14"/>
      <c r="B172" s="14"/>
      <c r="C172" s="14"/>
      <c r="D172" s="14"/>
      <c r="E172" s="14"/>
      <c r="F172" s="14"/>
    </row>
    <row r="173" ht="15.75" customHeight="1">
      <c r="A173" s="14"/>
      <c r="B173" s="14"/>
      <c r="C173" s="14"/>
      <c r="D173" s="14"/>
      <c r="E173" s="14"/>
      <c r="F173" s="14"/>
    </row>
    <row r="174" ht="15.75" customHeight="1">
      <c r="A174" s="14"/>
      <c r="B174" s="14"/>
      <c r="C174" s="14"/>
      <c r="D174" s="14"/>
      <c r="E174" s="14"/>
      <c r="F174" s="14"/>
    </row>
    <row r="175" ht="15.75" customHeight="1">
      <c r="A175" s="14"/>
      <c r="B175" s="14"/>
      <c r="C175" s="14"/>
      <c r="D175" s="14"/>
      <c r="E175" s="14"/>
      <c r="F175" s="14"/>
    </row>
    <row r="176" ht="15.75" customHeight="1">
      <c r="A176" s="14"/>
      <c r="B176" s="14"/>
      <c r="C176" s="14"/>
      <c r="D176" s="14"/>
      <c r="E176" s="14"/>
      <c r="F176" s="14"/>
    </row>
    <row r="177" ht="15.75" customHeight="1">
      <c r="A177" s="14"/>
      <c r="B177" s="14"/>
      <c r="C177" s="14"/>
      <c r="D177" s="14"/>
      <c r="E177" s="14"/>
      <c r="F177" s="14"/>
    </row>
    <row r="178" ht="15.75" customHeight="1">
      <c r="A178" s="14"/>
      <c r="B178" s="14"/>
      <c r="C178" s="14"/>
      <c r="D178" s="14"/>
      <c r="E178" s="14"/>
      <c r="F178" s="14"/>
    </row>
    <row r="179" ht="15.75" customHeight="1">
      <c r="A179" s="14"/>
      <c r="B179" s="14"/>
      <c r="C179" s="14"/>
      <c r="D179" s="14"/>
      <c r="E179" s="14"/>
      <c r="F179" s="14"/>
    </row>
    <row r="180" ht="15.75" customHeight="1">
      <c r="A180" s="14"/>
      <c r="B180" s="14"/>
      <c r="C180" s="14"/>
      <c r="D180" s="14"/>
      <c r="E180" s="14"/>
      <c r="F180" s="14"/>
    </row>
    <row r="181" ht="15.75" customHeight="1">
      <c r="A181" s="14"/>
      <c r="B181" s="14"/>
      <c r="C181" s="14"/>
      <c r="D181" s="14"/>
      <c r="E181" s="14"/>
      <c r="F181" s="14"/>
    </row>
    <row r="182" ht="15.75" customHeight="1">
      <c r="A182" s="14"/>
      <c r="B182" s="14"/>
      <c r="C182" s="14"/>
      <c r="D182" s="14"/>
      <c r="E182" s="14"/>
      <c r="F182" s="14"/>
    </row>
    <row r="183" ht="15.75" customHeight="1">
      <c r="A183" s="14"/>
      <c r="B183" s="14"/>
      <c r="C183" s="14"/>
      <c r="D183" s="14"/>
      <c r="E183" s="14"/>
      <c r="F183" s="14"/>
    </row>
    <row r="184" ht="15.75" customHeight="1">
      <c r="A184" s="14"/>
      <c r="B184" s="14"/>
      <c r="C184" s="14"/>
      <c r="D184" s="14"/>
      <c r="E184" s="14"/>
      <c r="F184" s="14"/>
    </row>
    <row r="185" ht="15.75" customHeight="1">
      <c r="A185" s="14"/>
      <c r="B185" s="14"/>
      <c r="C185" s="14"/>
      <c r="D185" s="14"/>
      <c r="E185" s="14"/>
      <c r="F185" s="14"/>
    </row>
    <row r="186" ht="15.75" customHeight="1">
      <c r="A186" s="14"/>
      <c r="B186" s="14"/>
      <c r="C186" s="14"/>
      <c r="D186" s="14"/>
      <c r="E186" s="14"/>
      <c r="F186" s="14"/>
    </row>
    <row r="187" ht="15.75" customHeight="1">
      <c r="A187" s="14"/>
      <c r="B187" s="14"/>
      <c r="C187" s="14"/>
      <c r="D187" s="14"/>
      <c r="E187" s="14"/>
      <c r="F187" s="14"/>
    </row>
    <row r="188" ht="15.75" customHeight="1">
      <c r="A188" s="14"/>
      <c r="B188" s="14"/>
      <c r="C188" s="14"/>
      <c r="D188" s="14"/>
      <c r="E188" s="14"/>
      <c r="F188" s="14"/>
    </row>
    <row r="189" ht="15.75" customHeight="1">
      <c r="A189" s="14"/>
      <c r="B189" s="14"/>
      <c r="C189" s="14"/>
      <c r="D189" s="14"/>
      <c r="E189" s="14"/>
      <c r="F189" s="14"/>
    </row>
    <row r="190" ht="15.75" customHeight="1">
      <c r="A190" s="14"/>
      <c r="B190" s="14"/>
      <c r="C190" s="14"/>
      <c r="D190" s="14"/>
      <c r="E190" s="14"/>
      <c r="F190" s="14"/>
    </row>
    <row r="191" ht="15.75" customHeight="1">
      <c r="A191" s="14"/>
      <c r="B191" s="14"/>
      <c r="C191" s="14"/>
      <c r="D191" s="14"/>
      <c r="E191" s="14"/>
      <c r="F191" s="14"/>
    </row>
    <row r="192" ht="15.75" customHeight="1">
      <c r="A192" s="14"/>
      <c r="B192" s="14"/>
      <c r="C192" s="14"/>
      <c r="D192" s="14"/>
      <c r="E192" s="14"/>
      <c r="F192" s="14"/>
    </row>
    <row r="193" ht="15.75" customHeight="1">
      <c r="A193" s="14"/>
      <c r="B193" s="14"/>
      <c r="C193" s="14"/>
      <c r="D193" s="14"/>
      <c r="E193" s="14"/>
      <c r="F193" s="14"/>
    </row>
    <row r="194" ht="15.75" customHeight="1">
      <c r="A194" s="14"/>
      <c r="B194" s="14"/>
      <c r="C194" s="14"/>
      <c r="D194" s="14"/>
      <c r="E194" s="14"/>
      <c r="F194" s="14"/>
    </row>
    <row r="195" ht="15.75" customHeight="1">
      <c r="A195" s="14"/>
      <c r="B195" s="14"/>
      <c r="C195" s="14"/>
      <c r="D195" s="14"/>
      <c r="E195" s="14"/>
      <c r="F195" s="14"/>
    </row>
    <row r="196" ht="15.75" customHeight="1">
      <c r="A196" s="14"/>
      <c r="B196" s="14"/>
      <c r="C196" s="14"/>
      <c r="D196" s="14"/>
      <c r="E196" s="14"/>
      <c r="F196" s="14"/>
    </row>
    <row r="197" ht="15.75" customHeight="1">
      <c r="A197" s="14"/>
      <c r="B197" s="14"/>
      <c r="C197" s="14"/>
      <c r="D197" s="14"/>
      <c r="E197" s="14"/>
      <c r="F197" s="14"/>
    </row>
    <row r="198" ht="15.75" customHeight="1">
      <c r="A198" s="14"/>
      <c r="B198" s="14"/>
      <c r="C198" s="14"/>
      <c r="D198" s="14"/>
      <c r="E198" s="14"/>
      <c r="F198" s="14"/>
    </row>
    <row r="199" ht="15.75" customHeight="1">
      <c r="A199" s="14"/>
      <c r="B199" s="14"/>
      <c r="C199" s="14"/>
      <c r="D199" s="14"/>
      <c r="E199" s="14"/>
      <c r="F199" s="14"/>
    </row>
    <row r="200" ht="15.75" customHeight="1">
      <c r="A200" s="14"/>
      <c r="B200" s="14"/>
      <c r="C200" s="14"/>
      <c r="D200" s="14"/>
      <c r="E200" s="14"/>
      <c r="F200" s="14"/>
    </row>
    <row r="201" ht="15.75" customHeight="1">
      <c r="A201" s="14"/>
      <c r="B201" s="14"/>
      <c r="C201" s="14"/>
      <c r="D201" s="14"/>
      <c r="E201" s="14"/>
      <c r="F201" s="14"/>
    </row>
    <row r="202" ht="15.75" customHeight="1">
      <c r="A202" s="14"/>
      <c r="B202" s="14"/>
      <c r="C202" s="14"/>
      <c r="D202" s="14"/>
      <c r="E202" s="14"/>
      <c r="F202" s="14"/>
    </row>
    <row r="203" ht="15.75" customHeight="1">
      <c r="A203" s="14"/>
      <c r="B203" s="14"/>
      <c r="C203" s="14"/>
      <c r="D203" s="14"/>
      <c r="E203" s="14"/>
      <c r="F203" s="14"/>
    </row>
    <row r="204" ht="15.75" customHeight="1">
      <c r="A204" s="14"/>
      <c r="B204" s="14"/>
      <c r="C204" s="14"/>
      <c r="D204" s="14"/>
      <c r="E204" s="14"/>
      <c r="F204" s="14"/>
    </row>
    <row r="205" ht="15.75" customHeight="1">
      <c r="A205" s="14"/>
      <c r="B205" s="14"/>
      <c r="C205" s="14"/>
      <c r="D205" s="14"/>
      <c r="E205" s="14"/>
      <c r="F205" s="14"/>
    </row>
    <row r="206" ht="15.75" customHeight="1">
      <c r="A206" s="14"/>
      <c r="B206" s="14"/>
      <c r="C206" s="14"/>
      <c r="D206" s="14"/>
      <c r="E206" s="14"/>
      <c r="F206" s="14"/>
    </row>
    <row r="207" ht="15.75" customHeight="1">
      <c r="A207" s="14"/>
      <c r="B207" s="14"/>
      <c r="C207" s="14"/>
      <c r="D207" s="14"/>
      <c r="E207" s="14"/>
      <c r="F207" s="14"/>
    </row>
    <row r="208" ht="15.75" customHeight="1">
      <c r="A208" s="14"/>
      <c r="B208" s="14"/>
      <c r="C208" s="14"/>
      <c r="D208" s="14"/>
      <c r="E208" s="14"/>
      <c r="F208" s="14"/>
    </row>
    <row r="209" ht="15.75" customHeight="1">
      <c r="A209" s="14"/>
      <c r="B209" s="14"/>
      <c r="C209" s="14"/>
      <c r="D209" s="14"/>
      <c r="E209" s="14"/>
      <c r="F209" s="14"/>
    </row>
    <row r="210" ht="15.75" customHeight="1">
      <c r="A210" s="14"/>
      <c r="B210" s="14"/>
      <c r="C210" s="14"/>
      <c r="D210" s="14"/>
      <c r="E210" s="14"/>
      <c r="F210" s="14"/>
    </row>
    <row r="211" ht="15.75" customHeight="1">
      <c r="A211" s="14"/>
      <c r="B211" s="14"/>
      <c r="C211" s="14"/>
      <c r="D211" s="14"/>
      <c r="E211" s="14"/>
      <c r="F211" s="14"/>
    </row>
    <row r="212" ht="15.75" customHeight="1">
      <c r="A212" s="14"/>
      <c r="B212" s="14"/>
      <c r="C212" s="14"/>
      <c r="D212" s="14"/>
      <c r="E212" s="14"/>
      <c r="F212" s="14"/>
    </row>
    <row r="213" ht="15.75" customHeight="1">
      <c r="A213" s="14"/>
      <c r="B213" s="14"/>
      <c r="C213" s="14"/>
      <c r="D213" s="14"/>
      <c r="E213" s="14"/>
      <c r="F213" s="14"/>
    </row>
    <row r="214" ht="15.75" customHeight="1">
      <c r="A214" s="14"/>
      <c r="B214" s="14"/>
      <c r="C214" s="14"/>
      <c r="D214" s="14"/>
      <c r="E214" s="14"/>
      <c r="F214" s="14"/>
    </row>
    <row r="215" ht="15.75" customHeight="1">
      <c r="A215" s="14"/>
      <c r="B215" s="14"/>
      <c r="C215" s="14"/>
      <c r="D215" s="14"/>
      <c r="E215" s="14"/>
      <c r="F215" s="14"/>
    </row>
    <row r="216" ht="15.75" customHeight="1">
      <c r="A216" s="14"/>
      <c r="B216" s="14"/>
      <c r="C216" s="14"/>
      <c r="D216" s="14"/>
      <c r="E216" s="14"/>
      <c r="F216" s="14"/>
    </row>
    <row r="217" ht="15.75" customHeight="1">
      <c r="A217" s="14"/>
      <c r="B217" s="14"/>
      <c r="C217" s="14"/>
      <c r="D217" s="14"/>
      <c r="E217" s="14"/>
      <c r="F217" s="14"/>
    </row>
    <row r="218" ht="15.75" customHeight="1">
      <c r="A218" s="14"/>
      <c r="B218" s="14"/>
      <c r="C218" s="14"/>
      <c r="D218" s="14"/>
      <c r="E218" s="14"/>
      <c r="F218" s="14"/>
    </row>
    <row r="219" ht="15.75" customHeight="1">
      <c r="A219" s="14"/>
      <c r="B219" s="14"/>
      <c r="C219" s="14"/>
      <c r="D219" s="14"/>
      <c r="E219" s="14"/>
      <c r="F219" s="14"/>
    </row>
    <row r="220" ht="15.75" customHeight="1">
      <c r="A220" s="14"/>
      <c r="B220" s="14"/>
      <c r="C220" s="14"/>
      <c r="D220" s="14"/>
      <c r="E220" s="14"/>
      <c r="F220" s="14"/>
    </row>
    <row r="221" ht="15.75" customHeight="1">
      <c r="A221" s="14"/>
      <c r="B221" s="14"/>
      <c r="C221" s="14"/>
      <c r="D221" s="14"/>
      <c r="E221" s="14"/>
      <c r="F221" s="14"/>
    </row>
    <row r="222" ht="15.75" customHeight="1">
      <c r="A222" s="14"/>
      <c r="B222" s="14"/>
      <c r="C222" s="14"/>
      <c r="D222" s="14"/>
      <c r="E222" s="14"/>
      <c r="F222" s="14"/>
    </row>
    <row r="223" ht="15.75" customHeight="1">
      <c r="A223" s="14"/>
      <c r="B223" s="14"/>
      <c r="C223" s="14"/>
      <c r="D223" s="14"/>
      <c r="E223" s="14"/>
      <c r="F223" s="14"/>
    </row>
    <row r="224" ht="15.75" customHeight="1">
      <c r="A224" s="14"/>
      <c r="B224" s="14"/>
      <c r="C224" s="14"/>
      <c r="D224" s="14"/>
      <c r="E224" s="14"/>
      <c r="F224" s="14"/>
    </row>
    <row r="225" ht="15.75" customHeight="1">
      <c r="A225" s="14"/>
      <c r="B225" s="14"/>
      <c r="C225" s="14"/>
      <c r="D225" s="14"/>
      <c r="E225" s="14"/>
      <c r="F225" s="14"/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4.43"/>
    <col customWidth="1" min="2" max="2" width="25.71"/>
    <col customWidth="1" min="3" max="3" width="28.71"/>
    <col customWidth="1" min="4" max="4" width="36.0"/>
    <col customWidth="1" min="5" max="5" width="28.71"/>
    <col customWidth="1" min="6" max="6" width="14.43"/>
  </cols>
  <sheetData>
    <row r="1">
      <c r="A1" s="6" t="s">
        <v>130</v>
      </c>
      <c r="B1" s="6" t="s">
        <v>686</v>
      </c>
      <c r="C1" s="6" t="s">
        <v>132</v>
      </c>
      <c r="D1" s="6" t="s">
        <v>687</v>
      </c>
      <c r="E1" s="6" t="s">
        <v>688</v>
      </c>
      <c r="F1" s="6"/>
      <c r="G1" s="6"/>
      <c r="H1" s="6"/>
      <c r="I1" s="6"/>
      <c r="J1" s="6"/>
      <c r="K1" s="6"/>
    </row>
    <row r="2">
      <c r="A2" s="7">
        <v>1.0</v>
      </c>
      <c r="B2" s="6" t="s">
        <v>689</v>
      </c>
      <c r="C2" s="6" t="s">
        <v>690</v>
      </c>
      <c r="D2" s="6" t="s">
        <v>691</v>
      </c>
      <c r="E2" s="6" t="s">
        <v>692</v>
      </c>
      <c r="F2" s="6"/>
      <c r="G2" s="6"/>
      <c r="H2" s="6"/>
      <c r="I2" s="6"/>
      <c r="J2" s="6"/>
      <c r="K2" s="6"/>
    </row>
    <row r="3">
      <c r="A3" s="7">
        <v>2.0</v>
      </c>
      <c r="B3" s="6" t="s">
        <v>693</v>
      </c>
      <c r="C3" s="6" t="s">
        <v>694</v>
      </c>
      <c r="D3" s="6" t="s">
        <v>695</v>
      </c>
      <c r="E3" s="6" t="s">
        <v>696</v>
      </c>
      <c r="F3" s="6"/>
      <c r="G3" s="6"/>
      <c r="H3" s="6"/>
      <c r="I3" s="6"/>
      <c r="J3" s="6"/>
      <c r="K3" s="6"/>
    </row>
    <row r="4">
      <c r="A4" s="7">
        <v>3.0</v>
      </c>
      <c r="B4" s="6" t="s">
        <v>697</v>
      </c>
      <c r="C4" s="6" t="s">
        <v>698</v>
      </c>
      <c r="D4" s="6" t="s">
        <v>699</v>
      </c>
      <c r="E4" s="6" t="s">
        <v>700</v>
      </c>
      <c r="F4" s="6"/>
      <c r="G4" s="6"/>
      <c r="H4" s="6"/>
      <c r="I4" s="6"/>
      <c r="J4" s="6"/>
      <c r="K4" s="6"/>
    </row>
    <row r="5">
      <c r="A5" s="7">
        <v>4.0</v>
      </c>
      <c r="B5" s="6" t="s">
        <v>624</v>
      </c>
      <c r="C5" s="6" t="s">
        <v>701</v>
      </c>
      <c r="D5" s="6" t="s">
        <v>702</v>
      </c>
      <c r="E5" s="6" t="s">
        <v>703</v>
      </c>
      <c r="F5" s="6"/>
      <c r="G5" s="6"/>
      <c r="H5" s="6"/>
      <c r="I5" s="6"/>
      <c r="J5" s="6"/>
      <c r="K5" s="6"/>
    </row>
    <row r="6">
      <c r="A6" s="7">
        <v>5.0</v>
      </c>
      <c r="B6" s="6" t="s">
        <v>629</v>
      </c>
      <c r="C6" s="6" t="s">
        <v>704</v>
      </c>
      <c r="D6" s="6" t="s">
        <v>705</v>
      </c>
      <c r="E6" s="6" t="s">
        <v>706</v>
      </c>
      <c r="F6" s="6"/>
      <c r="G6" s="6"/>
      <c r="H6" s="6"/>
      <c r="I6" s="6"/>
      <c r="J6" s="6"/>
      <c r="K6" s="6"/>
    </row>
    <row r="7">
      <c r="A7" s="7">
        <v>6.0</v>
      </c>
      <c r="B7" s="6" t="s">
        <v>707</v>
      </c>
      <c r="C7" s="6" t="s">
        <v>708</v>
      </c>
      <c r="D7" s="6" t="s">
        <v>50</v>
      </c>
      <c r="E7" s="6" t="s">
        <v>709</v>
      </c>
      <c r="F7" s="6"/>
      <c r="G7" s="6"/>
      <c r="H7" s="6"/>
      <c r="I7" s="6"/>
      <c r="J7" s="6"/>
      <c r="K7" s="6"/>
    </row>
    <row r="8">
      <c r="A8" s="7">
        <v>7.0</v>
      </c>
      <c r="B8" s="6" t="s">
        <v>710</v>
      </c>
      <c r="C8" s="6" t="s">
        <v>711</v>
      </c>
      <c r="D8" s="6" t="s">
        <v>712</v>
      </c>
      <c r="E8" s="6" t="s">
        <v>713</v>
      </c>
      <c r="F8" s="6"/>
      <c r="G8" s="6"/>
      <c r="H8" s="6"/>
      <c r="I8" s="6"/>
      <c r="J8" s="6"/>
      <c r="K8" s="6"/>
    </row>
    <row r="9">
      <c r="A9" s="7">
        <v>8.0</v>
      </c>
      <c r="B9" s="6" t="s">
        <v>714</v>
      </c>
      <c r="C9" s="6" t="s">
        <v>715</v>
      </c>
      <c r="D9" s="6" t="s">
        <v>716</v>
      </c>
      <c r="E9" s="6" t="s">
        <v>717</v>
      </c>
      <c r="F9" s="6"/>
      <c r="G9" s="6"/>
      <c r="H9" s="6"/>
      <c r="I9" s="6"/>
      <c r="J9" s="6"/>
      <c r="K9" s="6"/>
    </row>
    <row r="10">
      <c r="A10" s="7">
        <v>9.0</v>
      </c>
      <c r="B10" s="6" t="s">
        <v>639</v>
      </c>
      <c r="C10" s="6" t="s">
        <v>718</v>
      </c>
      <c r="D10" s="6" t="s">
        <v>50</v>
      </c>
      <c r="E10" s="6" t="s">
        <v>719</v>
      </c>
      <c r="F10" s="6"/>
      <c r="G10" s="6"/>
      <c r="H10" s="6"/>
      <c r="I10" s="6"/>
      <c r="J10" s="6"/>
      <c r="K10" s="6"/>
    </row>
    <row r="11">
      <c r="A11" s="7">
        <v>10.0</v>
      </c>
      <c r="B11" s="6" t="s">
        <v>648</v>
      </c>
      <c r="C11" s="6" t="s">
        <v>720</v>
      </c>
      <c r="D11" s="6" t="s">
        <v>721</v>
      </c>
      <c r="E11" s="6" t="s">
        <v>722</v>
      </c>
      <c r="F11" s="6"/>
      <c r="G11" s="6"/>
      <c r="H11" s="6"/>
      <c r="I11" s="6"/>
      <c r="J11" s="6"/>
      <c r="K11" s="6"/>
    </row>
    <row r="12">
      <c r="A12" s="7">
        <v>11.0</v>
      </c>
      <c r="B12" s="6" t="s">
        <v>661</v>
      </c>
      <c r="C12" s="6" t="s">
        <v>723</v>
      </c>
      <c r="D12" s="6" t="s">
        <v>724</v>
      </c>
      <c r="E12" s="6" t="s">
        <v>725</v>
      </c>
      <c r="F12" s="6"/>
      <c r="G12" s="6"/>
      <c r="H12" s="6"/>
      <c r="I12" s="6"/>
      <c r="J12" s="6"/>
      <c r="K12" s="6"/>
    </row>
    <row r="13">
      <c r="A13" s="7">
        <v>12.0</v>
      </c>
      <c r="B13" s="6" t="s">
        <v>673</v>
      </c>
      <c r="C13" s="6" t="s">
        <v>726</v>
      </c>
      <c r="D13" s="6" t="s">
        <v>50</v>
      </c>
      <c r="E13" s="6" t="s">
        <v>677</v>
      </c>
      <c r="F13" s="6"/>
      <c r="G13" s="6"/>
      <c r="H13" s="6"/>
      <c r="I13" s="6"/>
      <c r="J13" s="6"/>
      <c r="K13" s="6"/>
    </row>
    <row r="14">
      <c r="A14" s="7">
        <v>13.0</v>
      </c>
      <c r="B14" s="6" t="s">
        <v>727</v>
      </c>
      <c r="C14" s="6" t="s">
        <v>728</v>
      </c>
      <c r="D14" s="6" t="s">
        <v>50</v>
      </c>
      <c r="E14" s="6" t="s">
        <v>729</v>
      </c>
      <c r="F14" s="6"/>
      <c r="G14" s="6"/>
      <c r="H14" s="6"/>
      <c r="I14" s="6"/>
      <c r="J14" s="6"/>
      <c r="K14" s="6"/>
    </row>
    <row r="15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</row>
    <row r="16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</row>
    <row r="17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</row>
    <row r="18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</row>
    <row r="19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</row>
    <row r="20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</row>
    <row r="27" ht="15.75" customHeight="1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</row>
    <row r="28" ht="15.75" customHeight="1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</row>
    <row r="29" ht="15.75" customHeight="1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</row>
    <row r="30" ht="15.75" customHeight="1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</row>
    <row r="31" ht="15.75" customHeight="1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</row>
    <row r="32" ht="15.75" customHeight="1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</row>
    <row r="33" ht="15.75" customHeight="1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</row>
    <row r="34" ht="15.75" customHeight="1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</row>
    <row r="35" ht="15.75" customHeight="1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</row>
    <row r="36" ht="15.75" customHeight="1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</row>
    <row r="37" ht="15.75" customHeight="1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</row>
    <row r="38" ht="15.75" customHeight="1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</row>
    <row r="39" ht="15.75" customHeight="1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</row>
    <row r="40" ht="15.75" customHeight="1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</row>
    <row r="41" ht="15.75" customHeight="1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</row>
    <row r="42" ht="15.75" customHeight="1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</row>
    <row r="43" ht="15.75" customHeight="1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</row>
    <row r="44" ht="15.75" customHeight="1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</row>
    <row r="45" ht="15.75" customHeight="1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</row>
    <row r="46" ht="15.75" customHeight="1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</row>
    <row r="47" ht="15.75" customHeight="1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</row>
    <row r="48" ht="15.75" customHeight="1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</row>
    <row r="49" ht="15.75" customHeight="1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</row>
    <row r="50" ht="15.75" customHeight="1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</row>
    <row r="51" ht="15.75" customHeight="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</row>
    <row r="52" ht="15.75" customHeight="1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</row>
    <row r="53" ht="15.75" customHeight="1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</row>
    <row r="54" ht="15.75" customHeight="1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</row>
    <row r="55" ht="15.75" customHeight="1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</row>
    <row r="56" ht="15.75" customHeight="1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</row>
    <row r="57" ht="15.75" customHeight="1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</row>
    <row r="58" ht="15.75" customHeight="1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</row>
    <row r="59" ht="15.75" customHeight="1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</row>
    <row r="60" ht="15.75" customHeight="1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</row>
    <row r="61" ht="15.75" customHeight="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</row>
    <row r="62" ht="15.75" customHeight="1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</row>
    <row r="63" ht="15.75" customHeight="1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</row>
    <row r="64" ht="15.75" customHeight="1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</row>
    <row r="65" ht="15.75" customHeight="1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</row>
    <row r="66" ht="15.75" customHeight="1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</row>
    <row r="67" ht="15.75" customHeight="1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</row>
    <row r="68" ht="15.75" customHeight="1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</row>
    <row r="69" ht="15.75" customHeight="1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</row>
    <row r="70" ht="15.75" customHeight="1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</row>
    <row r="71" ht="15.75" customHeight="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</row>
    <row r="72" ht="15.75" customHeight="1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</row>
    <row r="73" ht="15.75" customHeight="1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</row>
    <row r="74" ht="15.75" customHeight="1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</row>
    <row r="75" ht="15.75" customHeight="1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</row>
    <row r="76" ht="15.75" customHeight="1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</row>
    <row r="77" ht="15.75" customHeight="1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</row>
    <row r="78" ht="15.75" customHeight="1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</row>
    <row r="79" ht="15.75" customHeight="1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</row>
    <row r="80" ht="15.75" customHeight="1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</row>
    <row r="81" ht="15.75" customHeight="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</row>
    <row r="82" ht="15.75" customHeight="1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</row>
    <row r="83" ht="15.75" customHeight="1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</row>
    <row r="84" ht="15.75" customHeight="1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</row>
    <row r="85" ht="15.75" customHeight="1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</row>
    <row r="86" ht="15.75" customHeight="1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</row>
    <row r="87" ht="15.75" customHeight="1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</row>
    <row r="88" ht="15.75" customHeight="1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</row>
    <row r="89" ht="15.75" customHeight="1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</row>
    <row r="90" ht="15.75" customHeight="1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</row>
    <row r="91" ht="15.75" customHeight="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</row>
    <row r="92" ht="15.75" customHeight="1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</row>
    <row r="93" ht="15.75" customHeight="1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</row>
    <row r="94" ht="15.75" customHeight="1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</row>
    <row r="95" ht="15.75" customHeight="1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</row>
    <row r="96" ht="15.75" customHeight="1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</row>
    <row r="97" ht="15.75" customHeight="1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</row>
    <row r="98" ht="15.75" customHeight="1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</row>
    <row r="99" ht="15.75" customHeight="1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</row>
    <row r="100" ht="15.75" customHeight="1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</row>
  </sheetData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2025-12-27T22:38:24Z</dcterms:created>
  <dc:creator>openpyxl</dc:creator>
  <dcterms:modified xsi:type="dcterms:W3CDTF">2025-12-27T22:38:24Z</dcterms:modified>
</cp:coreProperties>
</file>