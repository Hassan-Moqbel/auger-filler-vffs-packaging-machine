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tric_Calculations" sheetId="1" r:id="rId4"/>
  </sheets>
  <definedNames/>
  <calcPr/>
</workbook>
</file>

<file path=xl/sharedStrings.xml><?xml version="1.0" encoding="utf-8"?>
<sst xmlns="http://schemas.openxmlformats.org/spreadsheetml/2006/main" count="50" uniqueCount="44">
  <si>
    <t>Parameter / Equation</t>
  </si>
  <si>
    <t>Symbol</t>
  </si>
  <si>
    <t>Value</t>
  </si>
  <si>
    <t>Unit</t>
  </si>
  <si>
    <t>Formula (Excel-driven)</t>
  </si>
  <si>
    <t>Description</t>
  </si>
  <si>
    <t>Outer Diameter</t>
  </si>
  <si>
    <t>D</t>
  </si>
  <si>
    <t>m</t>
  </si>
  <si>
    <t>Auger outer diameter</t>
  </si>
  <si>
    <t>Shaft Diameter</t>
  </si>
  <si>
    <t>Ds</t>
  </si>
  <si>
    <t>Auger shaft diameter</t>
  </si>
  <si>
    <t>Pitch</t>
  </si>
  <si>
    <t>p</t>
  </si>
  <si>
    <t>Auger pitch</t>
  </si>
  <si>
    <t>Number of Turns</t>
  </si>
  <si>
    <t>n</t>
  </si>
  <si>
    <t>-</t>
  </si>
  <si>
    <t>Effective auger turns</t>
  </si>
  <si>
    <t>Fill Efficiency</t>
  </si>
  <si>
    <t>ηv</t>
  </si>
  <si>
    <t>Volumetric fill efficiency</t>
  </si>
  <si>
    <t>Bulk Density</t>
  </si>
  <si>
    <t>ρb</t>
  </si>
  <si>
    <t>kg/m³</t>
  </si>
  <si>
    <t>Bulk density of salt</t>
  </si>
  <si>
    <t>Cross-sectional Area</t>
  </si>
  <si>
    <t>A</t>
  </si>
  <si>
    <t>m²</t>
  </si>
  <si>
    <t>Annular cross-sectional area</t>
  </si>
  <si>
    <t>Volume per Pitch</t>
  </si>
  <si>
    <t>Vp</t>
  </si>
  <si>
    <t>m³</t>
  </si>
  <si>
    <t>Volume conveyed per pitch</t>
  </si>
  <si>
    <t>Effective Volume per Pitch</t>
  </si>
  <si>
    <t>Veff</t>
  </si>
  <si>
    <t>Effective volume considering fill efficiency</t>
  </si>
  <si>
    <t>Total Volume</t>
  </si>
  <si>
    <t>Vt</t>
  </si>
  <si>
    <t>Total conveyed volume</t>
  </si>
  <si>
    <t>Mass per Dose</t>
  </si>
  <si>
    <t>kg</t>
  </si>
  <si>
    <t>Mass delivered per dose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</si>
</sst>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4" width="8.71"/>
    <col customWidth="1" min="5" max="5" width="23.86"/>
    <col customWidth="1" min="6" max="6" width="40.0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>
        <v>0.06</v>
      </c>
      <c r="D2" t="s">
        <v>8</v>
      </c>
      <c r="F2" t="s">
        <v>9</v>
      </c>
    </row>
    <row r="3">
      <c r="A3" t="s">
        <v>10</v>
      </c>
      <c r="B3" t="s">
        <v>11</v>
      </c>
      <c r="C3">
        <v>0.016</v>
      </c>
      <c r="D3" t="s">
        <v>8</v>
      </c>
      <c r="F3" t="s">
        <v>12</v>
      </c>
    </row>
    <row r="4">
      <c r="A4" t="s">
        <v>13</v>
      </c>
      <c r="B4" t="s">
        <v>14</v>
      </c>
      <c r="C4">
        <v>0.06</v>
      </c>
      <c r="D4" t="s">
        <v>8</v>
      </c>
      <c r="F4" t="s">
        <v>15</v>
      </c>
    </row>
    <row r="5">
      <c r="A5" t="s">
        <v>16</v>
      </c>
      <c r="B5" t="s">
        <v>17</v>
      </c>
      <c r="C5">
        <v>4.5</v>
      </c>
      <c r="D5" t="s">
        <v>18</v>
      </c>
      <c r="F5" t="s">
        <v>19</v>
      </c>
    </row>
    <row r="6">
      <c r="A6" t="s">
        <v>20</v>
      </c>
      <c r="B6" t="s">
        <v>21</v>
      </c>
      <c r="C6">
        <v>0.6</v>
      </c>
      <c r="D6" t="s">
        <v>18</v>
      </c>
      <c r="F6" t="s">
        <v>22</v>
      </c>
    </row>
    <row r="7">
      <c r="A7" t="s">
        <v>23</v>
      </c>
      <c r="B7" t="s">
        <v>24</v>
      </c>
      <c r="C7">
        <v>1300.0</v>
      </c>
      <c r="D7" t="s">
        <v>25</v>
      </c>
      <c r="F7" t="s">
        <v>26</v>
      </c>
    </row>
    <row r="8">
      <c r="A8" t="s">
        <v>27</v>
      </c>
      <c r="B8" t="s">
        <v>28</v>
      </c>
      <c r="D8" t="s">
        <v>29</v>
      </c>
      <c r="E8" t="str">
        <f>PI()*(B2^2-B3^2)/4</f>
        <v>#VALUE!</v>
      </c>
      <c r="F8" t="s">
        <v>30</v>
      </c>
    </row>
    <row r="9">
      <c r="A9" t="s">
        <v>31</v>
      </c>
      <c r="B9" t="s">
        <v>32</v>
      </c>
      <c r="D9" t="s">
        <v>33</v>
      </c>
      <c r="E9" t="str">
        <f>E8*B4</f>
        <v>#VALUE!</v>
      </c>
      <c r="F9" t="s">
        <v>34</v>
      </c>
    </row>
    <row r="10">
      <c r="A10" t="s">
        <v>35</v>
      </c>
      <c r="B10" t="s">
        <v>36</v>
      </c>
      <c r="D10" t="s">
        <v>33</v>
      </c>
      <c r="E10" t="str">
        <f>E9*B6</f>
        <v>#VALUE!</v>
      </c>
      <c r="F10" t="s">
        <v>37</v>
      </c>
    </row>
    <row r="11">
      <c r="A11" t="s">
        <v>38</v>
      </c>
      <c r="B11" t="s">
        <v>39</v>
      </c>
      <c r="D11" t="s">
        <v>33</v>
      </c>
      <c r="E11" t="str">
        <f>E10*B5</f>
        <v>#VALUE!</v>
      </c>
      <c r="F11" t="s">
        <v>40</v>
      </c>
    </row>
    <row r="12">
      <c r="A12" t="s">
        <v>41</v>
      </c>
      <c r="B12" t="s">
        <v>8</v>
      </c>
      <c r="D12" t="s">
        <v>42</v>
      </c>
      <c r="E12" t="str">
        <f>E11*B7</f>
        <v>#VALUE!</v>
      </c>
      <c r="F1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2026-01-16T19:17:42Z</dcterms:created>
  <dc:creator>openpyxl</dc:creator>
  <dcterms:modified xsi:type="dcterms:W3CDTF">2026-01-16T19:17:42Z</dcterms:modified>
</cp:coreProperties>
</file>