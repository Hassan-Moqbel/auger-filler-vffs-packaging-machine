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er Screw Dimensions" sheetId="1" r:id="rId4"/>
    <sheet state="visible" name="Forces Equations" sheetId="2" r:id="rId5"/>
    <sheet state="visible" name="Forces Equations parameters " sheetId="3" r:id="rId6"/>
    <sheet state="visible" name="Volume parameters driven " sheetId="4" r:id="rId7"/>
    <sheet state="visible" name="Volumetric Calculation Equation" sheetId="5" r:id="rId8"/>
    <sheet state="visible" name="Torque Calculations" sheetId="6" r:id="rId9"/>
    <sheet state="visible" name="Torque Equations" sheetId="7" r:id="rId10"/>
  </sheets>
  <definedNames/>
  <calcPr/>
</workbook>
</file>

<file path=xl/sharedStrings.xml><?xml version="1.0" encoding="utf-8"?>
<sst xmlns="http://schemas.openxmlformats.org/spreadsheetml/2006/main" count="520" uniqueCount="430">
  <si>
    <t>Feature</t>
  </si>
  <si>
    <t>Description</t>
  </si>
  <si>
    <t>Value</t>
  </si>
  <si>
    <t>Unit</t>
  </si>
  <si>
    <t>Notes</t>
  </si>
  <si>
    <t>Overall Length</t>
  </si>
  <si>
    <t>Total auger length</t>
  </si>
  <si>
    <t>mm</t>
  </si>
  <si>
    <t>Bottom tip to top smooth end</t>
  </si>
  <si>
    <t>Flighted Length</t>
  </si>
  <si>
    <t>Effective helical section</t>
  </si>
  <si>
    <t>Active dosing zone</t>
  </si>
  <si>
    <t>Number of Flights</t>
  </si>
  <si>
    <t>Total helical turns</t>
  </si>
  <si>
    <t>rev</t>
  </si>
  <si>
    <t>Single start</t>
  </si>
  <si>
    <t>Pitch</t>
  </si>
  <si>
    <t>Distance between flights</t>
  </si>
  <si>
    <t>Constant pitch</t>
  </si>
  <si>
    <t>Outer Diameter</t>
  </si>
  <si>
    <t>Maximum auger diameter</t>
  </si>
  <si>
    <t>Flight OD</t>
  </si>
  <si>
    <t>Core Shaft Diameter</t>
  </si>
  <si>
    <t>Shaft diameter under flight</t>
  </si>
  <si>
    <t>Main core</t>
  </si>
  <si>
    <t>Upper Smooth Shaft Length</t>
  </si>
  <si>
    <t>Non-flighted upper section</t>
  </si>
  <si>
    <t>Connection to auger shaft</t>
  </si>
  <si>
    <t>Lower Clearance Length</t>
  </si>
  <si>
    <t>End clearance before thread</t>
  </si>
  <si>
    <t>Between flight and thread</t>
  </si>
  <si>
    <t>Threaded Length</t>
  </si>
  <si>
    <t>Thread for rotary plate</t>
  </si>
  <si>
    <t>M14×1.5</t>
  </si>
  <si>
    <t>Thread Diameter</t>
  </si>
  <si>
    <t>Thread nominal diameter</t>
  </si>
  <si>
    <t>Metric fine</t>
  </si>
  <si>
    <t>Flight Thickness</t>
  </si>
  <si>
    <t>Helical ribbon thickness</t>
  </si>
  <si>
    <t>Axial thickness</t>
  </si>
  <si>
    <t>Radial Flight Height</t>
  </si>
  <si>
    <t>Flight radial height</t>
  </si>
  <si>
    <t>(OD–Core)/2</t>
  </si>
  <si>
    <t>Radial Clearance</t>
  </si>
  <si>
    <t>Clearance to tube wall</t>
  </si>
  <si>
    <t>1.0–1.5</t>
  </si>
  <si>
    <t>Avoid rubbing</t>
  </si>
  <si>
    <t>Chamfer</t>
  </si>
  <si>
    <t>Flight leading edge</t>
  </si>
  <si>
    <t>1×45°</t>
  </si>
  <si>
    <t>-</t>
  </si>
  <si>
    <t>Smooth flow</t>
  </si>
  <si>
    <t>Fillet Radius</t>
  </si>
  <si>
    <t>Flight to shaft root</t>
  </si>
  <si>
    <t>R1.5–R2.0</t>
  </si>
  <si>
    <t>Stress relief</t>
  </si>
  <si>
    <t>No.</t>
  </si>
  <si>
    <t>Force Type</t>
  </si>
  <si>
    <t>Equation</t>
  </si>
  <si>
    <t>Symbols Meaning</t>
  </si>
  <si>
    <t>Engineering Use</t>
  </si>
  <si>
    <t>Material Weight Force</t>
  </si>
  <si>
    <t>F_w = m · g</t>
  </si>
  <si>
    <t>m = mass (kg), g = 9.81 m/s²</t>
  </si>
  <si>
    <t>Gravity load of material</t>
  </si>
  <si>
    <t>Axial Force (Helix)</t>
  </si>
  <si>
    <t>F_ax = m · g · sin(α)</t>
  </si>
  <si>
    <t>α = helix angle</t>
  </si>
  <si>
    <t>Material conveying force</t>
  </si>
  <si>
    <t>Normal Force</t>
  </si>
  <si>
    <t>F_n = m · g · cos(α)</t>
  </si>
  <si>
    <t>—</t>
  </si>
  <si>
    <t>Used for friction</t>
  </si>
  <si>
    <t>Friction Force</t>
  </si>
  <si>
    <t>F_f = μ · F_n</t>
  </si>
  <si>
    <t>μ = friction coefficient</t>
  </si>
  <si>
    <t>Material resistance</t>
  </si>
  <si>
    <t>Axial Friction Force</t>
  </si>
  <si>
    <t>F_ax,f = μ · m · g · cos(α)</t>
  </si>
  <si>
    <t>Affects torque</t>
  </si>
  <si>
    <t>Bulk Pressure Force</t>
  </si>
  <si>
    <t>F_p = σ · A</t>
  </si>
  <si>
    <t>σ = bulk stress</t>
  </si>
  <si>
    <t>High fill cases</t>
  </si>
  <si>
    <t>Shear Force</t>
  </si>
  <si>
    <t>F_s = τ · A</t>
  </si>
  <si>
    <t>τ = shear stress</t>
  </si>
  <si>
    <t>Cohesion resistance</t>
  </si>
  <si>
    <t>Rotary Plate Load</t>
  </si>
  <si>
    <t>F_plate = (m_p + m_m) · g</t>
  </si>
  <si>
    <t>plate + material mass</t>
  </si>
  <si>
    <t>Load on auger</t>
  </si>
  <si>
    <t>Radial Force</t>
  </si>
  <si>
    <t>F_r = F_n · sin(α)</t>
  </si>
  <si>
    <t>Bending analysis</t>
  </si>
  <si>
    <t>Inertial Force</t>
  </si>
  <si>
    <t>F_i = m · a</t>
  </si>
  <si>
    <t>a = acceleration</t>
  </si>
  <si>
    <t>Startup condition</t>
  </si>
  <si>
    <t>Centrifugal Force</t>
  </si>
  <si>
    <t>F_c = m · ω² · r</t>
  </si>
  <si>
    <t>ω = angular speed</t>
  </si>
  <si>
    <t>Rotating elements</t>
  </si>
  <si>
    <t>Shaft Tangential Force</t>
  </si>
  <si>
    <t>F_t = T / r</t>
  </si>
  <si>
    <t>T = torque</t>
  </si>
  <si>
    <t>Shaft stress</t>
  </si>
  <si>
    <t>Key Shear Force</t>
  </si>
  <si>
    <t>F_key = T / r_key</t>
  </si>
  <si>
    <t>r_key = key radius</t>
  </si>
  <si>
    <t>Key safety</t>
  </si>
  <si>
    <t>Cross Pin Force</t>
  </si>
  <si>
    <t>F_pin = T / r_pin</t>
  </si>
  <si>
    <t>r_pin = pin radius</t>
  </si>
  <si>
    <t>Pin safety</t>
  </si>
  <si>
    <t>Equivalent Static Force</t>
  </si>
  <si>
    <t>F_eq = T / r_m</t>
  </si>
  <si>
    <t>r_m = mean radius</t>
  </si>
  <si>
    <t>FEA loading</t>
  </si>
  <si>
    <t>Symbolic Form</t>
  </si>
  <si>
    <t>Input Parameters</t>
  </si>
  <si>
    <t>Calculated Result (Auto)</t>
  </si>
  <si>
    <t>Units</t>
  </si>
  <si>
    <t>Parameters</t>
  </si>
  <si>
    <t>Mass (kg)</t>
  </si>
  <si>
    <t>Gravity (m/s^2)</t>
  </si>
  <si>
    <t>Friction Coefficient (μ)</t>
  </si>
  <si>
    <t>Radius (m)</t>
  </si>
  <si>
    <t>Angular Speed (rad/s)</t>
  </si>
  <si>
    <t>Weight Force</t>
  </si>
  <si>
    <t>F = m*g</t>
  </si>
  <si>
    <t>m, g</t>
  </si>
  <si>
    <t>N</t>
  </si>
  <si>
    <t>Gravitational force of material</t>
  </si>
  <si>
    <t>F = μ*m*g</t>
  </si>
  <si>
    <t>μ, m, g</t>
  </si>
  <si>
    <t>Axial resistance</t>
  </si>
  <si>
    <t>Torque from Weight</t>
  </si>
  <si>
    <t>T = F*r</t>
  </si>
  <si>
    <t>m, g, r</t>
  </si>
  <si>
    <t>N·m</t>
  </si>
  <si>
    <t>Torque due to mass</t>
  </si>
  <si>
    <t>F = m*r*ω²</t>
  </si>
  <si>
    <t>m, r, ω</t>
  </si>
  <si>
    <t>Rotational force</t>
  </si>
  <si>
    <t>Parameter / Equation</t>
  </si>
  <si>
    <t>Symbol</t>
  </si>
  <si>
    <t>Formula (Excel-driven)</t>
  </si>
  <si>
    <t>D</t>
  </si>
  <si>
    <t>m</t>
  </si>
  <si>
    <t>Auger outer diameter</t>
  </si>
  <si>
    <t>Shaft Diameter</t>
  </si>
  <si>
    <t>Ds</t>
  </si>
  <si>
    <t>Auger shaft diameter</t>
  </si>
  <si>
    <t>p</t>
  </si>
  <si>
    <t>Auger pitch</t>
  </si>
  <si>
    <t>Number of Turns</t>
  </si>
  <si>
    <t>n</t>
  </si>
  <si>
    <t>Effective auger turns</t>
  </si>
  <si>
    <t>Fill Efficiency</t>
  </si>
  <si>
    <t>ηv</t>
  </si>
  <si>
    <t>Volumetric fill efficiency</t>
  </si>
  <si>
    <t>Bulk Density</t>
  </si>
  <si>
    <t>ρb</t>
  </si>
  <si>
    <t>kg/m³</t>
  </si>
  <si>
    <t>Bulk density of salt</t>
  </si>
  <si>
    <t>Cross-sectional Area</t>
  </si>
  <si>
    <t>A</t>
  </si>
  <si>
    <t>m²</t>
  </si>
  <si>
    <t>Annular cross-sectional area</t>
  </si>
  <si>
    <t>Volume per Pitch</t>
  </si>
  <si>
    <t>Vp</t>
  </si>
  <si>
    <t>m³</t>
  </si>
  <si>
    <t>Volume conveyed per pitch</t>
  </si>
  <si>
    <t>Effective Volume per Pitch</t>
  </si>
  <si>
    <t>Veff</t>
  </si>
  <si>
    <t>Effective volume considering fill efficiency</t>
  </si>
  <si>
    <t>Total Volume</t>
  </si>
  <si>
    <t>Vt</t>
  </si>
  <si>
    <t>Total conveyed volume</t>
  </si>
  <si>
    <t>Mass per Dose</t>
  </si>
  <si>
    <t>kg</t>
  </si>
  <si>
    <t>Mass delivered per dose</t>
  </si>
  <si>
    <t>Calculation Item</t>
  </si>
  <si>
    <t>Description (Arabic / English)</t>
  </si>
  <si>
    <t>Symbols</t>
  </si>
  <si>
    <t>Engineering Notes</t>
  </si>
  <si>
    <t>Explanation of the equation and its use</t>
  </si>
  <si>
    <t>Annular Area</t>
  </si>
  <si>
    <t>A = π/4 (D² − Ds²)</t>
  </si>
  <si>
    <t>مساحة المقطع الحلقي / Effective annular area</t>
  </si>
  <si>
    <t>D: Outer diameter | D_s: Shaft diameter</t>
  </si>
  <si>
    <t>Base volumetric area | أساس كل الحسابات الحجمية</t>
  </si>
  <si>
    <t>حساب المساحة الفعالة التي تشغلها المادة بين الريشة والعمود</t>
  </si>
  <si>
    <t>Volume per Revolution</t>
  </si>
  <si>
    <t>V_rev = A · p</t>
  </si>
  <si>
    <t>الحجم لكل لفة / Volume per revolution</t>
  </si>
  <si>
    <t>A: Annular area | p: Pitch</t>
  </si>
  <si>
    <t>Ideal filling | يفترض امتلاءً كاملًا</t>
  </si>
  <si>
    <t>حجم المادة النظرية المنقولة في لفة واحدة</t>
  </si>
  <si>
    <t>Effective Volume</t>
  </si>
  <si>
    <t>V_eff = η_v · V_rev</t>
  </si>
  <si>
    <t>الحجم الفعلي / Effective volume</t>
  </si>
  <si>
    <t>η_v: Volumetric efficiency</t>
  </si>
  <si>
    <t>Includes voids | يأخذ الفراغات بعين الاعتبار</t>
  </si>
  <si>
    <t>تعديل الحجم النظري حسب كفاءة التعبئة</t>
  </si>
  <si>
    <t>Total Auger Volume</t>
  </si>
  <si>
    <t>V_total = V_eff · n</t>
  </si>
  <si>
    <t>الحجم الكلي / Total volume</t>
  </si>
  <si>
    <t>n: Number of turns</t>
  </si>
  <si>
    <t>Dose basis | يستخدم في حساب الجرعة</t>
  </si>
  <si>
    <t>الحجم الذي يحتويه اللولب عبر جميع اللفات</t>
  </si>
  <si>
    <t>Volumetric Flow Rate</t>
  </si>
  <si>
    <t>Q_v = V_eff · N</t>
  </si>
  <si>
    <t>معدل التدفق الحجمي / Flow rate</t>
  </si>
  <si>
    <t>N: rev/s</t>
  </si>
  <si>
    <t>Speed dependent | مرتبط بسرعة الدوران</t>
  </si>
  <si>
    <t>حجم المادة المنقولة في وحدة الزمن</t>
  </si>
  <si>
    <t>Mass per Revolution</t>
  </si>
  <si>
    <t>m_rev = ρ_b · V_eff</t>
  </si>
  <si>
    <t>كتلة لكل لفة / Mass per rev</t>
  </si>
  <si>
    <t>ρ_b: Bulk density</t>
  </si>
  <si>
    <t>Torque input | مهم للتعبئة الوزنية</t>
  </si>
  <si>
    <t>تحويل الحجم إلى كتلة باستخدام الكثافة الظاهرية</t>
  </si>
  <si>
    <t>Mass Flow Rate</t>
  </si>
  <si>
    <t>ṁ = ρ_b · Q_v</t>
  </si>
  <si>
    <t>معدل التدفق الكتلي / Mass flow</t>
  </si>
  <si>
    <t>ρ_b</t>
  </si>
  <si>
    <t>Fill time | يستخدم لضبط زمن التعبئة</t>
  </si>
  <si>
    <t>معدل الكتلة المعبأة في الزمن</t>
  </si>
  <si>
    <t>Fill Time</t>
  </si>
  <si>
    <t>t = m_dose / ṁ</t>
  </si>
  <si>
    <t>زمن التعبئة / Fill time</t>
  </si>
  <si>
    <t>m_dose: Target mass</t>
  </si>
  <si>
    <t>Control timing | أساس التحكم في السيرفو</t>
  </si>
  <si>
    <t>الزمن اللازم لتعبئة كتلة محددة</t>
  </si>
  <si>
    <t>Revolutions per Dose</t>
  </si>
  <si>
    <t>N_dose = m_dose / m_rev</t>
  </si>
  <si>
    <t>عدد اللفات / Required turns</t>
  </si>
  <si>
    <t>Position control | يستخدم في التحكم الموضعي</t>
  </si>
  <si>
    <t>عدد لفات اللولب لتعبئة الجرعة</t>
  </si>
  <si>
    <t>Rotation Angle</t>
  </si>
  <si>
    <t>θ = 360 · N_dose</t>
  </si>
  <si>
    <t>زاوية الدوران / Rotation angle</t>
  </si>
  <si>
    <t>θ</t>
  </si>
  <si>
    <t>Servo command | مهمة في Position Control</t>
  </si>
  <si>
    <t xml:space="preserve">زاوية الدوران المطلوبة لكل تعبئة </t>
  </si>
  <si>
    <t>Held Volume</t>
  </si>
  <si>
    <t>V_hold = A · L_f · η_v</t>
  </si>
  <si>
    <t>حجم المادة داخل اللولب / Held volume</t>
  </si>
  <si>
    <t>L_f: Flighted length</t>
  </si>
  <si>
    <t>Axial load | للتأكد من عدم الانقطاع</t>
  </si>
  <si>
    <t xml:space="preserve">حجم المادة داخل الجزء الحلزوني </t>
  </si>
  <si>
    <t>Held Mass</t>
  </si>
  <si>
    <t>m_hold = ρ_b · V_hold</t>
  </si>
  <si>
    <t>كتلة داخل اللولب / Held mass</t>
  </si>
  <si>
    <t>Axial force | تدخل في حساب العزم</t>
  </si>
  <si>
    <t xml:space="preserve">كتلة المادة الموجودة داخل اللولب </t>
  </si>
  <si>
    <t>Disc Volume</t>
  </si>
  <si>
    <t>V_disc = A_disc · h</t>
  </si>
  <si>
    <t>حجم المادة فوق الصحن / Disc volume</t>
  </si>
  <si>
    <t>A_disc: Disc area</t>
  </si>
  <si>
    <t>Disc load | لتحليل الأحمال</t>
  </si>
  <si>
    <t xml:space="preserve">حجم المادة المحمولة على الصحن </t>
  </si>
  <si>
    <t>Disc Mass</t>
  </si>
  <si>
    <t>m_disc = ρ_b · V_disc</t>
  </si>
  <si>
    <t>كتلة المادة فوق الصحن / Disc mass</t>
  </si>
  <si>
    <t>Axial load | تؤثر على العزم المحوري</t>
  </si>
  <si>
    <t xml:space="preserve">وزن المادة المؤثرة على الصحن </t>
  </si>
  <si>
    <t>F = m · g</t>
  </si>
  <si>
    <t>قوة الوزن / Weight force</t>
  </si>
  <si>
    <t>g: 9.81 m/s²</t>
  </si>
  <si>
    <t>Static load  | تستخدم في التحليل الإنشائي</t>
  </si>
  <si>
    <t>القوة العمودية الناتجة عن المادة</t>
  </si>
  <si>
    <t>Item</t>
  </si>
  <si>
    <t>Symbol / Equation</t>
  </si>
  <si>
    <t>Numerical Substitution</t>
  </si>
  <si>
    <t>Result</t>
  </si>
  <si>
    <t>Engineering Note</t>
  </si>
  <si>
    <t>Filled Mass</t>
  </si>
  <si>
    <t>0.5</t>
  </si>
  <si>
    <t>Target fill weight</t>
  </si>
  <si>
    <t>Gravity Acceleration</t>
  </si>
  <si>
    <t>g</t>
  </si>
  <si>
    <t>9.81</t>
  </si>
  <si>
    <t>m/s²</t>
  </si>
  <si>
    <t>Physical constant</t>
  </si>
  <si>
    <t>Material Weight</t>
  </si>
  <si>
    <t>W = m·g</t>
  </si>
  <si>
    <t>0.5×9.81</t>
  </si>
  <si>
    <t>4.905</t>
  </si>
  <si>
    <t>Weight force</t>
  </si>
  <si>
    <t>Outer Radius</t>
  </si>
  <si>
    <t>r_o</t>
  </si>
  <si>
    <t>60/2</t>
  </si>
  <si>
    <t>0.030</t>
  </si>
  <si>
    <t>Auger outer radius</t>
  </si>
  <si>
    <t>Inner Radius</t>
  </si>
  <si>
    <t>r_i</t>
  </si>
  <si>
    <t>16/2</t>
  </si>
  <si>
    <t>0.008</t>
  </si>
  <si>
    <t>Shaft radius</t>
  </si>
  <si>
    <t>Mean Radius</t>
  </si>
  <si>
    <t>r_m=(r_o+r_i)/2</t>
  </si>
  <si>
    <t>(0.03+0.008)/2</t>
  </si>
  <si>
    <t>0.019</t>
  </si>
  <si>
    <t>Force application radius</t>
  </si>
  <si>
    <t>Torque due to Weight</t>
  </si>
  <si>
    <t>T_weight=W·r_m</t>
  </si>
  <si>
    <t>4.905×0.019</t>
  </si>
  <si>
    <t>0.093</t>
  </si>
  <si>
    <t>Basic conveying torque</t>
  </si>
  <si>
    <t>Friction Coefficient</t>
  </si>
  <si>
    <t>μ</t>
  </si>
  <si>
    <t>0.30</t>
  </si>
  <si>
    <t>Fine salt</t>
  </si>
  <si>
    <t>F_f=μ·W</t>
  </si>
  <si>
    <t>0.3×4.905</t>
  </si>
  <si>
    <t>1.47</t>
  </si>
  <si>
    <t>Friction Torque</t>
  </si>
  <si>
    <t>T_f=F_f·r_m</t>
  </si>
  <si>
    <t>1.47×0.019</t>
  </si>
  <si>
    <t>0.028</t>
  </si>
  <si>
    <t>Internal friction torque</t>
  </si>
  <si>
    <t>Wall Friction Torque</t>
  </si>
  <si>
    <t>T_wall</t>
  </si>
  <si>
    <t>Conservative</t>
  </si>
  <si>
    <t>0.010</t>
  </si>
  <si>
    <t>Flight-wall contact</t>
  </si>
  <si>
    <t>Bearing Friction Torque</t>
  </si>
  <si>
    <t>T_bearing</t>
  </si>
  <si>
    <t>Estimate</t>
  </si>
  <si>
    <t>0.0002</t>
  </si>
  <si>
    <t>Bearing losses</t>
  </si>
  <si>
    <t>Inertia Torque</t>
  </si>
  <si>
    <t>T_inertia</t>
  </si>
  <si>
    <t>Startup estimate</t>
  </si>
  <si>
    <t>0.020</t>
  </si>
  <si>
    <t>During acceleration</t>
  </si>
  <si>
    <t>Total Raw Torque</t>
  </si>
  <si>
    <t>ΣT</t>
  </si>
  <si>
    <t>Sum(7→13)</t>
  </si>
  <si>
    <t>0.151</t>
  </si>
  <si>
    <t>Without safety factor</t>
  </si>
  <si>
    <t>Safety Factor</t>
  </si>
  <si>
    <t>SF</t>
  </si>
  <si>
    <t>2.5</t>
  </si>
  <si>
    <t>Industrial practice</t>
  </si>
  <si>
    <t>Design Torque</t>
  </si>
  <si>
    <t>T_design=SF·ΣT</t>
  </si>
  <si>
    <t>2.5×0.151</t>
  </si>
  <si>
    <t>0.378</t>
  </si>
  <si>
    <t>Required on auger</t>
  </si>
  <si>
    <t>Gear Ratio</t>
  </si>
  <si>
    <t>i</t>
  </si>
  <si>
    <t>20</t>
  </si>
  <si>
    <t>Planetary gearbox</t>
  </si>
  <si>
    <t>Gearbox Efficiency</t>
  </si>
  <si>
    <t>η</t>
  </si>
  <si>
    <t>0.95</t>
  </si>
  <si>
    <t>High precision gearbox</t>
  </si>
  <si>
    <t>Required Servo Torque</t>
  </si>
  <si>
    <t>T_s=T_d/(i·η)</t>
  </si>
  <si>
    <t>0.378/(20×0.95)</t>
  </si>
  <si>
    <t>Actual servo load</t>
  </si>
  <si>
    <t>Servo Rated Torque</t>
  </si>
  <si>
    <t>Datasheet</t>
  </si>
  <si>
    <t>MSMF042L1U</t>
  </si>
  <si>
    <t>0.16</t>
  </si>
  <si>
    <t>Continuous operation</t>
  </si>
  <si>
    <t>Servo Peak Torque</t>
  </si>
  <si>
    <t>0.48</t>
  </si>
  <si>
    <t>Acceleration peak</t>
  </si>
  <si>
    <t>Gearbox Output Torque</t>
  </si>
  <si>
    <t>T_out=T_s·i·η</t>
  </si>
  <si>
    <t>0.16×20×0.95</t>
  </si>
  <si>
    <t>3.04</t>
  </si>
  <si>
    <t>Available torque</t>
  </si>
  <si>
    <t>Effective Safety Factor</t>
  </si>
  <si>
    <t>T_out/T_design</t>
  </si>
  <si>
    <t>3.04/0.378</t>
  </si>
  <si>
    <t>≈8</t>
  </si>
  <si>
    <t>Very safe</t>
  </si>
  <si>
    <t>Design Status</t>
  </si>
  <si>
    <t>SAFE</t>
  </si>
  <si>
    <t>No resizing required</t>
  </si>
  <si>
    <t>Torque Name</t>
  </si>
  <si>
    <t>Symbols Description</t>
  </si>
  <si>
    <t>Engineering Purpose</t>
  </si>
  <si>
    <t>Material Weight Torque</t>
  </si>
  <si>
    <t>T_m = m·g·r_m</t>
  </si>
  <si>
    <t>m: mass, g: gravity, r_m: mean radius</t>
  </si>
  <si>
    <t>Torque due to material weight</t>
  </si>
  <si>
    <t>Axial Friction Torque</t>
  </si>
  <si>
    <t>T_a = μ·m·g·r_m</t>
  </si>
  <si>
    <t>μ: friction coefficient</t>
  </si>
  <si>
    <t>Axial resistance of material</t>
  </si>
  <si>
    <t>Shear Torque</t>
  </si>
  <si>
    <t>T_s = τ·A·r_m</t>
  </si>
  <si>
    <t>τ: shear stress, A: shear area</t>
  </si>
  <si>
    <t>Material internal shear</t>
  </si>
  <si>
    <t>T_w = μ_w·N·r_o</t>
  </si>
  <si>
    <t>μ_w: wall friction, N: normal force</t>
  </si>
  <si>
    <t>Flight-wall friction</t>
  </si>
  <si>
    <t>T_b = f_b·F_r·r_b</t>
  </si>
  <si>
    <t>f_b: bearing factor</t>
  </si>
  <si>
    <t>Bearing resistance</t>
  </si>
  <si>
    <t>Coupling/Key Loss Torque</t>
  </si>
  <si>
    <t>T_k ≈ μ·F·r</t>
  </si>
  <si>
    <t>Losses in coupling/key</t>
  </si>
  <si>
    <t>Screw Inertia Torque</t>
  </si>
  <si>
    <t>T_J = J·α</t>
  </si>
  <si>
    <t>J: inertia, α: angular accel.</t>
  </si>
  <si>
    <t>Startup torque</t>
  </si>
  <si>
    <t>Material Inertia Torque</t>
  </si>
  <si>
    <t>T_Jm = J_m·α</t>
  </si>
  <si>
    <t>J_m: material inertia</t>
  </si>
  <si>
    <t>Material dynamic torque</t>
  </si>
  <si>
    <t>T_raw = ΣT</t>
  </si>
  <si>
    <t>Sum of all torques</t>
  </si>
  <si>
    <t>T_design = SF·T_raw</t>
  </si>
  <si>
    <t>SF: safety factor</t>
  </si>
  <si>
    <t>Design condition</t>
  </si>
  <si>
    <t>T_servo = T_design /(G·η)</t>
  </si>
  <si>
    <t>G: gear ratio, η: efficiency</t>
  </si>
  <si>
    <t>Motor sizing</t>
  </si>
  <si>
    <t>T_out = T_servo·G·η</t>
  </si>
  <si>
    <t>Actual Safety Factor</t>
  </si>
  <si>
    <t>SF_actual = T_out / T_design</t>
  </si>
  <si>
    <t>Safety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</si>
</sst>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sz val="11.0"/>
      <name val="Arial"/>
    </font>
    <font>
      <b/>
      <sz val="11.0"/>
      <name val="Arial"/>
    </font>
    <font/>
    <font>
      <sz val="14.0"/>
      <name val="Arial"/>
    </font>
    <font>
      <sz val="14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Font="1"/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7.57"/>
    <col customWidth="1" min="3" max="3" width="11.29"/>
    <col customWidth="1" min="4" max="4" width="8.71"/>
    <col customWidth="1" min="5" max="5" width="28.0"/>
    <col customWidth="1" min="6" max="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444.0</v>
      </c>
      <c r="D2" t="s">
        <v>7</v>
      </c>
      <c r="E2" t="s">
        <v>8</v>
      </c>
    </row>
    <row r="3">
      <c r="A3" t="s">
        <v>9</v>
      </c>
      <c r="B3" t="s">
        <v>10</v>
      </c>
      <c r="C3">
        <v>286.0</v>
      </c>
      <c r="D3" t="s">
        <v>7</v>
      </c>
      <c r="E3" t="s">
        <v>11</v>
      </c>
    </row>
    <row r="4">
      <c r="A4" t="s">
        <v>12</v>
      </c>
      <c r="B4" t="s">
        <v>13</v>
      </c>
      <c r="C4">
        <v>4.5</v>
      </c>
      <c r="D4" t="s">
        <v>14</v>
      </c>
      <c r="E4" t="s">
        <v>15</v>
      </c>
    </row>
    <row r="5">
      <c r="A5" t="s">
        <v>16</v>
      </c>
      <c r="B5" t="s">
        <v>17</v>
      </c>
      <c r="C5">
        <v>60.0</v>
      </c>
      <c r="D5" t="s">
        <v>7</v>
      </c>
      <c r="E5" t="s">
        <v>18</v>
      </c>
    </row>
    <row r="6">
      <c r="A6" t="s">
        <v>19</v>
      </c>
      <c r="B6" t="s">
        <v>20</v>
      </c>
      <c r="C6">
        <v>60.0</v>
      </c>
      <c r="D6" t="s">
        <v>7</v>
      </c>
      <c r="E6" t="s">
        <v>21</v>
      </c>
    </row>
    <row r="7">
      <c r="A7" t="s">
        <v>22</v>
      </c>
      <c r="B7" t="s">
        <v>23</v>
      </c>
      <c r="C7">
        <v>16.0</v>
      </c>
      <c r="D7" t="s">
        <v>7</v>
      </c>
      <c r="E7" t="s">
        <v>24</v>
      </c>
    </row>
    <row r="8">
      <c r="A8" t="s">
        <v>25</v>
      </c>
      <c r="B8" t="s">
        <v>26</v>
      </c>
      <c r="C8">
        <v>110.0</v>
      </c>
      <c r="D8" t="s">
        <v>7</v>
      </c>
      <c r="E8" t="s">
        <v>27</v>
      </c>
    </row>
    <row r="9">
      <c r="A9" t="s">
        <v>28</v>
      </c>
      <c r="B9" t="s">
        <v>29</v>
      </c>
      <c r="C9">
        <v>16.0</v>
      </c>
      <c r="D9" t="s">
        <v>7</v>
      </c>
      <c r="E9" t="s">
        <v>30</v>
      </c>
    </row>
    <row r="10">
      <c r="A10" t="s">
        <v>31</v>
      </c>
      <c r="B10" t="s">
        <v>32</v>
      </c>
      <c r="C10">
        <v>35.0</v>
      </c>
      <c r="D10" t="s">
        <v>7</v>
      </c>
      <c r="E10" t="s">
        <v>33</v>
      </c>
    </row>
    <row r="11">
      <c r="A11" t="s">
        <v>34</v>
      </c>
      <c r="B11" t="s">
        <v>35</v>
      </c>
      <c r="C11">
        <v>14.0</v>
      </c>
      <c r="D11" t="s">
        <v>7</v>
      </c>
      <c r="E11" t="s">
        <v>36</v>
      </c>
    </row>
    <row r="12">
      <c r="A12" t="s">
        <v>37</v>
      </c>
      <c r="B12" t="s">
        <v>38</v>
      </c>
      <c r="C12">
        <v>4.0</v>
      </c>
      <c r="D12" t="s">
        <v>7</v>
      </c>
      <c r="E12" t="s">
        <v>39</v>
      </c>
    </row>
    <row r="13">
      <c r="A13" t="s">
        <v>40</v>
      </c>
      <c r="B13" t="s">
        <v>41</v>
      </c>
      <c r="C13">
        <v>22.0</v>
      </c>
      <c r="D13" t="s">
        <v>7</v>
      </c>
      <c r="E13" t="s">
        <v>42</v>
      </c>
    </row>
    <row r="14">
      <c r="A14" t="s">
        <v>43</v>
      </c>
      <c r="B14" t="s">
        <v>44</v>
      </c>
      <c r="C14" t="s">
        <v>45</v>
      </c>
      <c r="D14" t="s">
        <v>7</v>
      </c>
      <c r="E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</row>
    <row r="16">
      <c r="A16" t="s">
        <v>52</v>
      </c>
      <c r="B16" t="s">
        <v>53</v>
      </c>
      <c r="C16" t="s">
        <v>54</v>
      </c>
      <c r="D16" t="s">
        <v>7</v>
      </c>
      <c r="E1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2.71"/>
    <col customWidth="1" min="3" max="3" width="26.14"/>
    <col customWidth="1" min="4" max="4" width="28.0"/>
    <col customWidth="1" min="5" max="5" width="23.86"/>
    <col customWidth="1" min="6" max="6" width="14.43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/>
      <c r="G1" s="1"/>
      <c r="H1" s="1"/>
      <c r="I1" s="1"/>
      <c r="J1" s="1"/>
      <c r="K1" s="1"/>
    </row>
    <row r="2">
      <c r="A2" s="2">
        <v>1.0</v>
      </c>
      <c r="B2" s="1" t="s">
        <v>61</v>
      </c>
      <c r="C2" s="1" t="s">
        <v>62</v>
      </c>
      <c r="D2" s="1" t="s">
        <v>63</v>
      </c>
      <c r="E2" s="1" t="s">
        <v>64</v>
      </c>
      <c r="F2" s="1"/>
      <c r="G2" s="1"/>
      <c r="H2" s="1"/>
      <c r="I2" s="1"/>
      <c r="J2" s="1"/>
      <c r="K2" s="1"/>
    </row>
    <row r="3">
      <c r="A3" s="2">
        <v>2.0</v>
      </c>
      <c r="B3" s="1" t="s">
        <v>65</v>
      </c>
      <c r="C3" s="1" t="s">
        <v>66</v>
      </c>
      <c r="D3" s="1" t="s">
        <v>67</v>
      </c>
      <c r="E3" s="1" t="s">
        <v>68</v>
      </c>
      <c r="F3" s="1"/>
      <c r="G3" s="1"/>
      <c r="H3" s="1"/>
      <c r="I3" s="1"/>
      <c r="J3" s="1"/>
      <c r="K3" s="1"/>
    </row>
    <row r="4">
      <c r="A4" s="2">
        <v>3.0</v>
      </c>
      <c r="B4" s="1" t="s">
        <v>69</v>
      </c>
      <c r="C4" s="1" t="s">
        <v>70</v>
      </c>
      <c r="D4" s="1" t="s">
        <v>71</v>
      </c>
      <c r="E4" s="1" t="s">
        <v>72</v>
      </c>
      <c r="F4" s="1"/>
      <c r="G4" s="1"/>
      <c r="H4" s="1"/>
      <c r="I4" s="1"/>
      <c r="J4" s="1"/>
      <c r="K4" s="1"/>
    </row>
    <row r="5">
      <c r="A5" s="2">
        <v>4.0</v>
      </c>
      <c r="B5" s="1" t="s">
        <v>73</v>
      </c>
      <c r="C5" s="1" t="s">
        <v>74</v>
      </c>
      <c r="D5" s="1" t="s">
        <v>75</v>
      </c>
      <c r="E5" s="1" t="s">
        <v>76</v>
      </c>
      <c r="F5" s="1"/>
      <c r="G5" s="1"/>
      <c r="H5" s="1"/>
      <c r="I5" s="1"/>
      <c r="J5" s="1"/>
      <c r="K5" s="1"/>
    </row>
    <row r="6">
      <c r="A6" s="2">
        <v>5.0</v>
      </c>
      <c r="B6" s="1" t="s">
        <v>77</v>
      </c>
      <c r="C6" s="1" t="s">
        <v>78</v>
      </c>
      <c r="D6" s="1" t="s">
        <v>71</v>
      </c>
      <c r="E6" s="1" t="s">
        <v>79</v>
      </c>
      <c r="F6" s="1"/>
      <c r="G6" s="1"/>
      <c r="H6" s="1"/>
      <c r="I6" s="1"/>
      <c r="J6" s="1"/>
      <c r="K6" s="1"/>
    </row>
    <row r="7">
      <c r="A7" s="2">
        <v>6.0</v>
      </c>
      <c r="B7" s="1" t="s">
        <v>80</v>
      </c>
      <c r="C7" s="1" t="s">
        <v>81</v>
      </c>
      <c r="D7" s="1" t="s">
        <v>82</v>
      </c>
      <c r="E7" s="1" t="s">
        <v>83</v>
      </c>
      <c r="F7" s="1"/>
      <c r="G7" s="1"/>
      <c r="H7" s="1"/>
      <c r="I7" s="1"/>
      <c r="J7" s="1"/>
      <c r="K7" s="1"/>
    </row>
    <row r="8">
      <c r="A8" s="2">
        <v>7.0</v>
      </c>
      <c r="B8" s="1" t="s">
        <v>84</v>
      </c>
      <c r="C8" s="1" t="s">
        <v>85</v>
      </c>
      <c r="D8" s="1" t="s">
        <v>86</v>
      </c>
      <c r="E8" s="1" t="s">
        <v>87</v>
      </c>
      <c r="F8" s="1"/>
      <c r="G8" s="1"/>
      <c r="H8" s="1"/>
      <c r="I8" s="1"/>
      <c r="J8" s="1"/>
      <c r="K8" s="1"/>
    </row>
    <row r="9">
      <c r="A9" s="2">
        <v>8.0</v>
      </c>
      <c r="B9" s="1" t="s">
        <v>88</v>
      </c>
      <c r="C9" s="1" t="s">
        <v>89</v>
      </c>
      <c r="D9" s="1" t="s">
        <v>90</v>
      </c>
      <c r="E9" s="1" t="s">
        <v>91</v>
      </c>
      <c r="F9" s="1"/>
      <c r="G9" s="1"/>
      <c r="H9" s="1"/>
      <c r="I9" s="1"/>
      <c r="J9" s="1"/>
      <c r="K9" s="1"/>
    </row>
    <row r="10">
      <c r="A10" s="2">
        <v>9.0</v>
      </c>
      <c r="B10" s="1" t="s">
        <v>92</v>
      </c>
      <c r="C10" s="1" t="s">
        <v>93</v>
      </c>
      <c r="D10" s="1" t="s">
        <v>71</v>
      </c>
      <c r="E10" s="1" t="s">
        <v>94</v>
      </c>
      <c r="F10" s="1"/>
      <c r="G10" s="1"/>
      <c r="H10" s="1"/>
      <c r="I10" s="1"/>
      <c r="J10" s="1"/>
      <c r="K10" s="1"/>
    </row>
    <row r="11">
      <c r="A11" s="2">
        <v>10.0</v>
      </c>
      <c r="B11" s="1" t="s">
        <v>95</v>
      </c>
      <c r="C11" s="1" t="s">
        <v>96</v>
      </c>
      <c r="D11" s="1" t="s">
        <v>97</v>
      </c>
      <c r="E11" s="1" t="s">
        <v>98</v>
      </c>
      <c r="F11" s="1"/>
      <c r="G11" s="1"/>
      <c r="H11" s="1"/>
      <c r="I11" s="1"/>
      <c r="J11" s="1"/>
      <c r="K11" s="1"/>
    </row>
    <row r="12">
      <c r="A12" s="2">
        <v>11.0</v>
      </c>
      <c r="B12" s="1" t="s">
        <v>99</v>
      </c>
      <c r="C12" s="1" t="s">
        <v>100</v>
      </c>
      <c r="D12" s="1" t="s">
        <v>101</v>
      </c>
      <c r="E12" s="1" t="s">
        <v>102</v>
      </c>
      <c r="F12" s="1"/>
      <c r="G12" s="1"/>
      <c r="H12" s="1"/>
      <c r="I12" s="1"/>
      <c r="J12" s="1"/>
      <c r="K12" s="1"/>
    </row>
    <row r="13">
      <c r="A13" s="2">
        <v>12.0</v>
      </c>
      <c r="B13" s="1" t="s">
        <v>103</v>
      </c>
      <c r="C13" s="1" t="s">
        <v>104</v>
      </c>
      <c r="D13" s="1" t="s">
        <v>105</v>
      </c>
      <c r="E13" s="1" t="s">
        <v>106</v>
      </c>
      <c r="F13" s="1"/>
      <c r="G13" s="1"/>
      <c r="H13" s="1"/>
      <c r="I13" s="1"/>
      <c r="J13" s="1"/>
      <c r="K13" s="1"/>
    </row>
    <row r="14">
      <c r="A14" s="2">
        <v>13.0</v>
      </c>
      <c r="B14" s="1" t="s">
        <v>107</v>
      </c>
      <c r="C14" s="1" t="s">
        <v>108</v>
      </c>
      <c r="D14" s="1" t="s">
        <v>109</v>
      </c>
      <c r="E14" s="1" t="s">
        <v>110</v>
      </c>
      <c r="F14" s="1"/>
      <c r="G14" s="1"/>
      <c r="H14" s="1"/>
      <c r="I14" s="1"/>
      <c r="J14" s="1"/>
      <c r="K14" s="1"/>
    </row>
    <row r="15">
      <c r="A15" s="2">
        <v>14.0</v>
      </c>
      <c r="B15" s="1" t="s">
        <v>111</v>
      </c>
      <c r="C15" s="1" t="s">
        <v>112</v>
      </c>
      <c r="D15" s="1" t="s">
        <v>113</v>
      </c>
      <c r="E15" s="1" t="s">
        <v>114</v>
      </c>
      <c r="F15" s="1"/>
      <c r="G15" s="1"/>
      <c r="H15" s="1"/>
      <c r="I15" s="1"/>
      <c r="J15" s="1"/>
      <c r="K15" s="1"/>
    </row>
    <row r="16">
      <c r="A16" s="2">
        <v>15.0</v>
      </c>
      <c r="B16" s="1" t="s">
        <v>115</v>
      </c>
      <c r="C16" s="1" t="s">
        <v>116</v>
      </c>
      <c r="D16" s="1" t="s">
        <v>117</v>
      </c>
      <c r="E16" s="1" t="s">
        <v>118</v>
      </c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57</v>
      </c>
      <c r="B1" s="1" t="s">
        <v>58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4</v>
      </c>
      <c r="H1" s="1"/>
      <c r="I1" s="1" t="s">
        <v>123</v>
      </c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 t="s">
        <v>124</v>
      </c>
      <c r="J2" s="2">
        <v>0.5</v>
      </c>
      <c r="K2" s="1"/>
    </row>
    <row r="3">
      <c r="A3" s="1"/>
      <c r="B3" s="1"/>
      <c r="C3" s="1"/>
      <c r="D3" s="1"/>
      <c r="E3" s="1"/>
      <c r="F3" s="1"/>
      <c r="G3" s="1"/>
      <c r="H3" s="1"/>
      <c r="I3" s="1" t="s">
        <v>125</v>
      </c>
      <c r="J3" s="2">
        <v>9.81</v>
      </c>
      <c r="K3" s="1"/>
    </row>
    <row r="4">
      <c r="A4" s="1"/>
      <c r="B4" s="1"/>
      <c r="C4" s="1"/>
      <c r="D4" s="1"/>
      <c r="E4" s="1"/>
      <c r="F4" s="1"/>
      <c r="G4" s="1"/>
      <c r="H4" s="1"/>
      <c r="I4" s="1" t="s">
        <v>126</v>
      </c>
      <c r="J4" s="2">
        <v>0.4</v>
      </c>
      <c r="K4" s="1"/>
    </row>
    <row r="5">
      <c r="A5" s="1"/>
      <c r="B5" s="1"/>
      <c r="C5" s="1"/>
      <c r="D5" s="1"/>
      <c r="E5" s="1"/>
      <c r="F5" s="1"/>
      <c r="G5" s="1"/>
      <c r="H5" s="1"/>
      <c r="I5" s="1" t="s">
        <v>127</v>
      </c>
      <c r="J5" s="2">
        <v>0.03</v>
      </c>
      <c r="K5" s="1"/>
    </row>
    <row r="6">
      <c r="A6" s="1"/>
      <c r="B6" s="1"/>
      <c r="C6" s="1"/>
      <c r="D6" s="1"/>
      <c r="E6" s="1"/>
      <c r="F6" s="1"/>
      <c r="G6" s="1"/>
      <c r="H6" s="1"/>
      <c r="I6" s="1" t="s">
        <v>128</v>
      </c>
      <c r="J6" s="2">
        <v>20.0</v>
      </c>
      <c r="K6" s="1"/>
    </row>
    <row r="7">
      <c r="A7" s="1" t="s">
        <v>129</v>
      </c>
      <c r="B7" s="1" t="s">
        <v>130</v>
      </c>
      <c r="C7" s="2" t="str">
        <f>J2*J3</f>
        <v>4.905</v>
      </c>
      <c r="D7" s="1" t="s">
        <v>131</v>
      </c>
      <c r="E7" s="2" t="str">
        <f>J2*J3</f>
        <v>4.905</v>
      </c>
      <c r="F7" s="1" t="s">
        <v>132</v>
      </c>
      <c r="G7" s="1" t="s">
        <v>133</v>
      </c>
      <c r="H7" s="1"/>
      <c r="I7" s="1"/>
      <c r="J7" s="1"/>
      <c r="K7" s="1"/>
    </row>
    <row r="8">
      <c r="A8" s="1" t="s">
        <v>77</v>
      </c>
      <c r="B8" s="1" t="s">
        <v>134</v>
      </c>
      <c r="C8" s="2" t="str">
        <f>J4*J2*J3</f>
        <v>1.962</v>
      </c>
      <c r="D8" s="1" t="s">
        <v>135</v>
      </c>
      <c r="E8" s="2" t="str">
        <f>J4*J2*J3</f>
        <v>1.962</v>
      </c>
      <c r="F8" s="1" t="s">
        <v>132</v>
      </c>
      <c r="G8" s="1" t="s">
        <v>136</v>
      </c>
      <c r="H8" s="1"/>
      <c r="I8" s="1"/>
      <c r="J8" s="1"/>
      <c r="K8" s="1"/>
    </row>
    <row r="9">
      <c r="A9" s="1" t="s">
        <v>137</v>
      </c>
      <c r="B9" s="1" t="s">
        <v>138</v>
      </c>
      <c r="C9" s="2" t="str">
        <f>(J2*J3)*J5</f>
        <v>0.14715</v>
      </c>
      <c r="D9" s="1" t="s">
        <v>139</v>
      </c>
      <c r="E9" s="2" t="str">
        <f>(J2*J3)*J5</f>
        <v>0.14715</v>
      </c>
      <c r="F9" s="1" t="s">
        <v>140</v>
      </c>
      <c r="G9" s="1" t="s">
        <v>141</v>
      </c>
      <c r="H9" s="1"/>
      <c r="I9" s="1"/>
      <c r="J9" s="1"/>
      <c r="K9" s="1"/>
    </row>
    <row r="10">
      <c r="A10" s="1" t="s">
        <v>99</v>
      </c>
      <c r="B10" s="1" t="s">
        <v>142</v>
      </c>
      <c r="C10" s="2" t="str">
        <f>J2*J5*J6^2</f>
        <v>6</v>
      </c>
      <c r="D10" s="1" t="s">
        <v>143</v>
      </c>
      <c r="E10" s="2" t="str">
        <f>J2*J5*J6^2</f>
        <v>6</v>
      </c>
      <c r="F10" s="1" t="s">
        <v>132</v>
      </c>
      <c r="G10" s="1" t="s">
        <v>144</v>
      </c>
      <c r="H10" s="1"/>
      <c r="I10" s="1"/>
      <c r="J10" s="1"/>
      <c r="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8.71"/>
    <col customWidth="1" min="3" max="3" width="6.71"/>
    <col customWidth="1" min="4" max="4" width="6.43"/>
    <col customWidth="1" min="5" max="5" width="23.86"/>
    <col customWidth="1" min="6" max="6" width="39.71"/>
  </cols>
  <sheetData>
    <row r="1">
      <c r="A1" s="3" t="s">
        <v>145</v>
      </c>
      <c r="B1" s="3" t="s">
        <v>146</v>
      </c>
      <c r="C1" s="3" t="s">
        <v>2</v>
      </c>
      <c r="D1" s="3" t="s">
        <v>3</v>
      </c>
      <c r="E1" s="3" t="s">
        <v>147</v>
      </c>
      <c r="F1" s="3" t="s">
        <v>1</v>
      </c>
    </row>
    <row r="2">
      <c r="A2" s="1" t="s">
        <v>19</v>
      </c>
      <c r="B2" s="1" t="s">
        <v>148</v>
      </c>
      <c r="C2" s="2">
        <v>0.06</v>
      </c>
      <c r="D2" s="1" t="s">
        <v>149</v>
      </c>
      <c r="E2" s="1"/>
      <c r="F2" s="1" t="s">
        <v>150</v>
      </c>
    </row>
    <row r="3">
      <c r="A3" s="1" t="s">
        <v>151</v>
      </c>
      <c r="B3" s="1" t="s">
        <v>152</v>
      </c>
      <c r="C3" s="2">
        <v>0.016</v>
      </c>
      <c r="D3" s="1" t="s">
        <v>149</v>
      </c>
      <c r="E3" s="1"/>
      <c r="F3" s="1" t="s">
        <v>153</v>
      </c>
    </row>
    <row r="4">
      <c r="A4" s="1" t="s">
        <v>16</v>
      </c>
      <c r="B4" s="1" t="s">
        <v>154</v>
      </c>
      <c r="C4" s="2">
        <v>0.06</v>
      </c>
      <c r="D4" s="1" t="s">
        <v>149</v>
      </c>
      <c r="E4" s="1"/>
      <c r="F4" s="1" t="s">
        <v>155</v>
      </c>
    </row>
    <row r="5">
      <c r="A5" s="1" t="s">
        <v>156</v>
      </c>
      <c r="B5" s="1" t="s">
        <v>157</v>
      </c>
      <c r="C5" s="2">
        <v>4.5</v>
      </c>
      <c r="D5" s="1" t="s">
        <v>50</v>
      </c>
      <c r="E5" s="1"/>
      <c r="F5" s="1" t="s">
        <v>158</v>
      </c>
    </row>
    <row r="6">
      <c r="A6" s="1" t="s">
        <v>159</v>
      </c>
      <c r="B6" s="1" t="s">
        <v>160</v>
      </c>
      <c r="C6" s="2">
        <v>0.6</v>
      </c>
      <c r="D6" s="1" t="s">
        <v>50</v>
      </c>
      <c r="E6" s="1"/>
      <c r="F6" s="1" t="s">
        <v>161</v>
      </c>
    </row>
    <row r="7">
      <c r="A7" s="1" t="s">
        <v>162</v>
      </c>
      <c r="B7" s="1" t="s">
        <v>163</v>
      </c>
      <c r="C7" s="2">
        <v>1300.0</v>
      </c>
      <c r="D7" s="1" t="s">
        <v>164</v>
      </c>
      <c r="E7" s="1"/>
      <c r="F7" s="1" t="s">
        <v>165</v>
      </c>
    </row>
    <row r="8">
      <c r="A8" s="1" t="s">
        <v>166</v>
      </c>
      <c r="B8" s="1" t="s">
        <v>167</v>
      </c>
      <c r="C8" s="1"/>
      <c r="D8" s="1" t="s">
        <v>168</v>
      </c>
      <c r="E8" s="4" t="str">
        <f>PI()*(B2^2-B3^2)/4</f>
        <v>#VALUE!</v>
      </c>
      <c r="F8" s="1" t="s">
        <v>169</v>
      </c>
    </row>
    <row r="9">
      <c r="A9" s="1" t="s">
        <v>170</v>
      </c>
      <c r="B9" s="1" t="s">
        <v>171</v>
      </c>
      <c r="C9" s="1"/>
      <c r="D9" s="1" t="s">
        <v>172</v>
      </c>
      <c r="E9" s="4" t="str">
        <f>E8*B4</f>
        <v>#VALUE!</v>
      </c>
      <c r="F9" s="1" t="s">
        <v>173</v>
      </c>
    </row>
    <row r="10">
      <c r="A10" s="1" t="s">
        <v>174</v>
      </c>
      <c r="B10" s="1" t="s">
        <v>175</v>
      </c>
      <c r="C10" s="1"/>
      <c r="D10" s="1" t="s">
        <v>172</v>
      </c>
      <c r="E10" s="4" t="str">
        <f>E9*B6</f>
        <v>#VALUE!</v>
      </c>
      <c r="F10" s="1" t="s">
        <v>176</v>
      </c>
    </row>
    <row r="11">
      <c r="A11" s="1" t="s">
        <v>177</v>
      </c>
      <c r="B11" s="1" t="s">
        <v>178</v>
      </c>
      <c r="C11" s="1"/>
      <c r="D11" s="1" t="s">
        <v>172</v>
      </c>
      <c r="E11" s="4" t="str">
        <f>E10*B5</f>
        <v>#VALUE!</v>
      </c>
      <c r="F11" s="1" t="s">
        <v>179</v>
      </c>
    </row>
    <row r="12">
      <c r="A12" s="1" t="s">
        <v>180</v>
      </c>
      <c r="B12" s="1" t="s">
        <v>149</v>
      </c>
      <c r="C12" s="1"/>
      <c r="D12" s="1" t="s">
        <v>181</v>
      </c>
      <c r="E12" s="4" t="str">
        <f>E11*B7</f>
        <v>#VALUE!</v>
      </c>
      <c r="F12" s="1" t="s">
        <v>182</v>
      </c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2.29"/>
    <col customWidth="1" min="3" max="3" width="25.86"/>
    <col customWidth="1" min="4" max="4" width="37.29"/>
    <col customWidth="1" min="5" max="5" width="38.0"/>
    <col customWidth="1" min="6" max="6" width="41.14"/>
    <col customWidth="1" min="7" max="7" width="40.86"/>
  </cols>
  <sheetData>
    <row r="1">
      <c r="A1" s="1" t="s">
        <v>56</v>
      </c>
      <c r="B1" s="1" t="s">
        <v>183</v>
      </c>
      <c r="C1" s="1" t="s">
        <v>58</v>
      </c>
      <c r="D1" s="1" t="s">
        <v>184</v>
      </c>
      <c r="E1" s="1" t="s">
        <v>185</v>
      </c>
      <c r="F1" s="1" t="s">
        <v>186</v>
      </c>
      <c r="G1" s="5" t="s">
        <v>187</v>
      </c>
    </row>
    <row r="2">
      <c r="A2" s="2">
        <v>1.0</v>
      </c>
      <c r="B2" s="1" t="s">
        <v>188</v>
      </c>
      <c r="C2" s="1" t="s">
        <v>189</v>
      </c>
      <c r="D2" s="6" t="s">
        <v>190</v>
      </c>
      <c r="E2" s="1" t="s">
        <v>191</v>
      </c>
      <c r="F2" s="1" t="s">
        <v>192</v>
      </c>
      <c r="G2" s="7" t="s">
        <v>193</v>
      </c>
    </row>
    <row r="3">
      <c r="A3" s="2">
        <v>2.0</v>
      </c>
      <c r="B3" s="1" t="s">
        <v>194</v>
      </c>
      <c r="C3" s="1" t="s">
        <v>195</v>
      </c>
      <c r="D3" s="6" t="s">
        <v>196</v>
      </c>
      <c r="E3" s="1" t="s">
        <v>197</v>
      </c>
      <c r="F3" s="1" t="s">
        <v>198</v>
      </c>
      <c r="G3" s="7" t="s">
        <v>199</v>
      </c>
    </row>
    <row r="4">
      <c r="A4" s="2">
        <v>3.0</v>
      </c>
      <c r="B4" s="1" t="s">
        <v>200</v>
      </c>
      <c r="C4" s="1" t="s">
        <v>201</v>
      </c>
      <c r="D4" s="6" t="s">
        <v>202</v>
      </c>
      <c r="E4" s="1" t="s">
        <v>203</v>
      </c>
      <c r="F4" s="1" t="s">
        <v>204</v>
      </c>
      <c r="G4" s="7" t="s">
        <v>205</v>
      </c>
    </row>
    <row r="5">
      <c r="A5" s="2">
        <v>4.0</v>
      </c>
      <c r="B5" s="1" t="s">
        <v>206</v>
      </c>
      <c r="C5" s="1" t="s">
        <v>207</v>
      </c>
      <c r="D5" s="6" t="s">
        <v>208</v>
      </c>
      <c r="E5" s="1" t="s">
        <v>209</v>
      </c>
      <c r="F5" s="1" t="s">
        <v>210</v>
      </c>
      <c r="G5" s="7" t="s">
        <v>211</v>
      </c>
    </row>
    <row r="6">
      <c r="A6" s="2">
        <v>5.0</v>
      </c>
      <c r="B6" s="1" t="s">
        <v>212</v>
      </c>
      <c r="C6" s="1" t="s">
        <v>213</v>
      </c>
      <c r="D6" s="6" t="s">
        <v>214</v>
      </c>
      <c r="E6" s="1" t="s">
        <v>215</v>
      </c>
      <c r="F6" s="1" t="s">
        <v>216</v>
      </c>
      <c r="G6" s="7" t="s">
        <v>217</v>
      </c>
    </row>
    <row r="7">
      <c r="A7" s="2">
        <v>6.0</v>
      </c>
      <c r="B7" s="1" t="s">
        <v>218</v>
      </c>
      <c r="C7" s="1" t="s">
        <v>219</v>
      </c>
      <c r="D7" s="6" t="s">
        <v>220</v>
      </c>
      <c r="E7" s="1" t="s">
        <v>221</v>
      </c>
      <c r="F7" s="1" t="s">
        <v>222</v>
      </c>
      <c r="G7" s="7" t="s">
        <v>223</v>
      </c>
    </row>
    <row r="8">
      <c r="A8" s="2">
        <v>7.0</v>
      </c>
      <c r="B8" s="1" t="s">
        <v>224</v>
      </c>
      <c r="C8" s="1" t="s">
        <v>225</v>
      </c>
      <c r="D8" s="6" t="s">
        <v>226</v>
      </c>
      <c r="E8" s="1" t="s">
        <v>227</v>
      </c>
      <c r="F8" s="1" t="s">
        <v>228</v>
      </c>
      <c r="G8" s="7" t="s">
        <v>229</v>
      </c>
    </row>
    <row r="9">
      <c r="A9" s="2">
        <v>8.0</v>
      </c>
      <c r="B9" s="1" t="s">
        <v>230</v>
      </c>
      <c r="C9" s="1" t="s">
        <v>231</v>
      </c>
      <c r="D9" s="6" t="s">
        <v>232</v>
      </c>
      <c r="E9" s="1" t="s">
        <v>233</v>
      </c>
      <c r="F9" s="1" t="s">
        <v>234</v>
      </c>
      <c r="G9" s="7" t="s">
        <v>235</v>
      </c>
    </row>
    <row r="10">
      <c r="A10" s="2">
        <v>9.0</v>
      </c>
      <c r="B10" s="1" t="s">
        <v>236</v>
      </c>
      <c r="C10" s="1" t="s">
        <v>237</v>
      </c>
      <c r="D10" s="6" t="s">
        <v>238</v>
      </c>
      <c r="E10" s="1" t="s">
        <v>50</v>
      </c>
      <c r="F10" s="1" t="s">
        <v>239</v>
      </c>
      <c r="G10" s="7" t="s">
        <v>240</v>
      </c>
    </row>
    <row r="11">
      <c r="A11" s="2">
        <v>10.0</v>
      </c>
      <c r="B11" s="1" t="s">
        <v>241</v>
      </c>
      <c r="C11" s="1" t="s">
        <v>242</v>
      </c>
      <c r="D11" s="6" t="s">
        <v>243</v>
      </c>
      <c r="E11" s="1" t="s">
        <v>244</v>
      </c>
      <c r="F11" s="1" t="s">
        <v>245</v>
      </c>
      <c r="G11" s="7" t="s">
        <v>246</v>
      </c>
    </row>
    <row r="12">
      <c r="A12" s="2">
        <v>11.0</v>
      </c>
      <c r="B12" s="1" t="s">
        <v>247</v>
      </c>
      <c r="C12" s="1" t="s">
        <v>248</v>
      </c>
      <c r="D12" s="6" t="s">
        <v>249</v>
      </c>
      <c r="E12" s="1" t="s">
        <v>250</v>
      </c>
      <c r="F12" s="1" t="s">
        <v>251</v>
      </c>
      <c r="G12" s="7" t="s">
        <v>252</v>
      </c>
    </row>
    <row r="13">
      <c r="A13" s="2">
        <v>12.0</v>
      </c>
      <c r="B13" s="1" t="s">
        <v>253</v>
      </c>
      <c r="C13" s="1" t="s">
        <v>254</v>
      </c>
      <c r="D13" s="6" t="s">
        <v>255</v>
      </c>
      <c r="E13" s="1" t="s">
        <v>227</v>
      </c>
      <c r="F13" s="1" t="s">
        <v>256</v>
      </c>
      <c r="G13" s="7" t="s">
        <v>257</v>
      </c>
    </row>
    <row r="14">
      <c r="A14" s="2">
        <v>13.0</v>
      </c>
      <c r="B14" s="1" t="s">
        <v>258</v>
      </c>
      <c r="C14" s="1" t="s">
        <v>259</v>
      </c>
      <c r="D14" s="6" t="s">
        <v>260</v>
      </c>
      <c r="E14" s="1" t="s">
        <v>261</v>
      </c>
      <c r="F14" s="1" t="s">
        <v>262</v>
      </c>
      <c r="G14" s="7" t="s">
        <v>263</v>
      </c>
    </row>
    <row r="15">
      <c r="A15" s="2">
        <v>14.0</v>
      </c>
      <c r="B15" s="1" t="s">
        <v>264</v>
      </c>
      <c r="C15" s="1" t="s">
        <v>265</v>
      </c>
      <c r="D15" s="6" t="s">
        <v>266</v>
      </c>
      <c r="E15" s="1" t="s">
        <v>227</v>
      </c>
      <c r="F15" s="1" t="s">
        <v>267</v>
      </c>
      <c r="G15" s="7" t="s">
        <v>268</v>
      </c>
    </row>
    <row r="16">
      <c r="A16" s="2">
        <v>15.0</v>
      </c>
      <c r="B16" s="1" t="s">
        <v>129</v>
      </c>
      <c r="C16" s="1" t="s">
        <v>269</v>
      </c>
      <c r="D16" s="6" t="s">
        <v>270</v>
      </c>
      <c r="E16" s="1" t="s">
        <v>271</v>
      </c>
      <c r="F16" s="1" t="s">
        <v>272</v>
      </c>
      <c r="G16" s="7" t="s">
        <v>273</v>
      </c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2.86"/>
    <col customWidth="1" min="3" max="3" width="27.86"/>
    <col customWidth="1" min="4" max="5" width="14.43"/>
    <col customWidth="1" min="6" max="6" width="29.57"/>
  </cols>
  <sheetData>
    <row r="1">
      <c r="A1" s="8" t="s">
        <v>274</v>
      </c>
      <c r="B1" s="8" t="s">
        <v>275</v>
      </c>
      <c r="C1" s="8" t="s">
        <v>276</v>
      </c>
      <c r="D1" s="8" t="s">
        <v>277</v>
      </c>
      <c r="E1" s="8" t="s">
        <v>3</v>
      </c>
      <c r="F1" s="8" t="s">
        <v>278</v>
      </c>
    </row>
    <row r="2">
      <c r="A2" s="8" t="s">
        <v>279</v>
      </c>
      <c r="B2" s="8" t="s">
        <v>149</v>
      </c>
      <c r="C2" s="8" t="s">
        <v>280</v>
      </c>
      <c r="D2" s="8" t="s">
        <v>280</v>
      </c>
      <c r="E2" s="8" t="s">
        <v>181</v>
      </c>
      <c r="F2" s="8" t="s">
        <v>281</v>
      </c>
    </row>
    <row r="3">
      <c r="A3" s="8" t="s">
        <v>282</v>
      </c>
      <c r="B3" s="8" t="s">
        <v>283</v>
      </c>
      <c r="C3" s="8" t="s">
        <v>50</v>
      </c>
      <c r="D3" s="8" t="s">
        <v>284</v>
      </c>
      <c r="E3" s="8" t="s">
        <v>285</v>
      </c>
      <c r="F3" s="8" t="s">
        <v>286</v>
      </c>
    </row>
    <row r="4">
      <c r="A4" s="8" t="s">
        <v>287</v>
      </c>
      <c r="B4" s="8" t="s">
        <v>288</v>
      </c>
      <c r="C4" s="8" t="s">
        <v>289</v>
      </c>
      <c r="D4" s="8" t="s">
        <v>290</v>
      </c>
      <c r="E4" s="8" t="s">
        <v>132</v>
      </c>
      <c r="F4" s="8" t="s">
        <v>291</v>
      </c>
    </row>
    <row r="5">
      <c r="A5" s="8" t="s">
        <v>292</v>
      </c>
      <c r="B5" s="8" t="s">
        <v>293</v>
      </c>
      <c r="C5" s="8" t="s">
        <v>294</v>
      </c>
      <c r="D5" s="8" t="s">
        <v>295</v>
      </c>
      <c r="E5" s="8" t="s">
        <v>149</v>
      </c>
      <c r="F5" s="8" t="s">
        <v>296</v>
      </c>
    </row>
    <row r="6">
      <c r="A6" s="8" t="s">
        <v>297</v>
      </c>
      <c r="B6" s="8" t="s">
        <v>298</v>
      </c>
      <c r="C6" s="8" t="s">
        <v>299</v>
      </c>
      <c r="D6" s="8" t="s">
        <v>300</v>
      </c>
      <c r="E6" s="8" t="s">
        <v>149</v>
      </c>
      <c r="F6" s="8" t="s">
        <v>301</v>
      </c>
    </row>
    <row r="7">
      <c r="A7" s="8" t="s">
        <v>302</v>
      </c>
      <c r="B7" s="8" t="s">
        <v>303</v>
      </c>
      <c r="C7" s="8" t="s">
        <v>304</v>
      </c>
      <c r="D7" s="8" t="s">
        <v>305</v>
      </c>
      <c r="E7" s="8" t="s">
        <v>149</v>
      </c>
      <c r="F7" s="8" t="s">
        <v>306</v>
      </c>
    </row>
    <row r="8">
      <c r="A8" s="8" t="s">
        <v>307</v>
      </c>
      <c r="B8" s="8" t="s">
        <v>308</v>
      </c>
      <c r="C8" s="8" t="s">
        <v>309</v>
      </c>
      <c r="D8" s="8" t="s">
        <v>310</v>
      </c>
      <c r="E8" s="8" t="s">
        <v>140</v>
      </c>
      <c r="F8" s="8" t="s">
        <v>311</v>
      </c>
    </row>
    <row r="9">
      <c r="A9" s="8" t="s">
        <v>312</v>
      </c>
      <c r="B9" s="8" t="s">
        <v>313</v>
      </c>
      <c r="C9" s="8" t="s">
        <v>50</v>
      </c>
      <c r="D9" s="8" t="s">
        <v>314</v>
      </c>
      <c r="E9" s="8" t="s">
        <v>50</v>
      </c>
      <c r="F9" s="8" t="s">
        <v>315</v>
      </c>
    </row>
    <row r="10">
      <c r="A10" s="8" t="s">
        <v>77</v>
      </c>
      <c r="B10" s="8" t="s">
        <v>316</v>
      </c>
      <c r="C10" s="8" t="s">
        <v>317</v>
      </c>
      <c r="D10" s="8" t="s">
        <v>318</v>
      </c>
      <c r="E10" s="8" t="s">
        <v>132</v>
      </c>
      <c r="F10" s="8" t="s">
        <v>76</v>
      </c>
    </row>
    <row r="11">
      <c r="A11" s="8" t="s">
        <v>319</v>
      </c>
      <c r="B11" s="8" t="s">
        <v>320</v>
      </c>
      <c r="C11" s="8" t="s">
        <v>321</v>
      </c>
      <c r="D11" s="8" t="s">
        <v>322</v>
      </c>
      <c r="E11" s="8" t="s">
        <v>140</v>
      </c>
      <c r="F11" s="8" t="s">
        <v>323</v>
      </c>
    </row>
    <row r="12">
      <c r="A12" s="8" t="s">
        <v>324</v>
      </c>
      <c r="B12" s="8" t="s">
        <v>325</v>
      </c>
      <c r="C12" s="8" t="s">
        <v>326</v>
      </c>
      <c r="D12" s="8" t="s">
        <v>327</v>
      </c>
      <c r="E12" s="8" t="s">
        <v>140</v>
      </c>
      <c r="F12" s="8" t="s">
        <v>328</v>
      </c>
    </row>
    <row r="13">
      <c r="A13" s="8" t="s">
        <v>329</v>
      </c>
      <c r="B13" s="8" t="s">
        <v>330</v>
      </c>
      <c r="C13" s="8" t="s">
        <v>331</v>
      </c>
      <c r="D13" s="8" t="s">
        <v>332</v>
      </c>
      <c r="E13" s="8" t="s">
        <v>140</v>
      </c>
      <c r="F13" s="8" t="s">
        <v>333</v>
      </c>
    </row>
    <row r="14">
      <c r="A14" s="8" t="s">
        <v>334</v>
      </c>
      <c r="B14" s="8" t="s">
        <v>335</v>
      </c>
      <c r="C14" s="8" t="s">
        <v>336</v>
      </c>
      <c r="D14" s="8" t="s">
        <v>337</v>
      </c>
      <c r="E14" s="8" t="s">
        <v>140</v>
      </c>
      <c r="F14" s="8" t="s">
        <v>338</v>
      </c>
    </row>
    <row r="15">
      <c r="A15" s="8" t="s">
        <v>339</v>
      </c>
      <c r="B15" s="8" t="s">
        <v>340</v>
      </c>
      <c r="C15" s="8" t="s">
        <v>341</v>
      </c>
      <c r="D15" s="8" t="s">
        <v>342</v>
      </c>
      <c r="E15" s="8" t="s">
        <v>140</v>
      </c>
      <c r="F15" s="8" t="s">
        <v>343</v>
      </c>
    </row>
    <row r="16">
      <c r="A16" s="8" t="s">
        <v>344</v>
      </c>
      <c r="B16" s="8" t="s">
        <v>345</v>
      </c>
      <c r="C16" s="8" t="s">
        <v>50</v>
      </c>
      <c r="D16" s="8" t="s">
        <v>346</v>
      </c>
      <c r="E16" s="8" t="s">
        <v>50</v>
      </c>
      <c r="F16" s="8" t="s">
        <v>347</v>
      </c>
    </row>
    <row r="17">
      <c r="A17" s="8" t="s">
        <v>348</v>
      </c>
      <c r="B17" s="8" t="s">
        <v>349</v>
      </c>
      <c r="C17" s="8" t="s">
        <v>350</v>
      </c>
      <c r="D17" s="8" t="s">
        <v>351</v>
      </c>
      <c r="E17" s="8" t="s">
        <v>140</v>
      </c>
      <c r="F17" s="8" t="s">
        <v>352</v>
      </c>
    </row>
    <row r="18">
      <c r="A18" s="8" t="s">
        <v>353</v>
      </c>
      <c r="B18" s="8" t="s">
        <v>354</v>
      </c>
      <c r="C18" s="8" t="s">
        <v>50</v>
      </c>
      <c r="D18" s="8" t="s">
        <v>355</v>
      </c>
      <c r="E18" s="8" t="s">
        <v>50</v>
      </c>
      <c r="F18" s="8" t="s">
        <v>356</v>
      </c>
    </row>
    <row r="19">
      <c r="A19" s="8" t="s">
        <v>357</v>
      </c>
      <c r="B19" s="8" t="s">
        <v>358</v>
      </c>
      <c r="C19" s="8" t="s">
        <v>50</v>
      </c>
      <c r="D19" s="8" t="s">
        <v>359</v>
      </c>
      <c r="E19" s="8" t="s">
        <v>50</v>
      </c>
      <c r="F19" s="8" t="s">
        <v>360</v>
      </c>
    </row>
    <row r="20">
      <c r="A20" s="8" t="s">
        <v>361</v>
      </c>
      <c r="B20" s="8" t="s">
        <v>362</v>
      </c>
      <c r="C20" s="8" t="s">
        <v>363</v>
      </c>
      <c r="D20" s="8" t="s">
        <v>337</v>
      </c>
      <c r="E20" s="8" t="s">
        <v>140</v>
      </c>
      <c r="F20" s="8" t="s">
        <v>364</v>
      </c>
    </row>
    <row r="21" ht="15.75" customHeight="1">
      <c r="A21" s="8" t="s">
        <v>365</v>
      </c>
      <c r="B21" s="8" t="s">
        <v>366</v>
      </c>
      <c r="C21" s="8" t="s">
        <v>367</v>
      </c>
      <c r="D21" s="8" t="s">
        <v>368</v>
      </c>
      <c r="E21" s="8" t="s">
        <v>140</v>
      </c>
      <c r="F21" s="8" t="s">
        <v>369</v>
      </c>
    </row>
    <row r="22" ht="15.75" customHeight="1">
      <c r="A22" s="8" t="s">
        <v>370</v>
      </c>
      <c r="B22" s="8" t="s">
        <v>366</v>
      </c>
      <c r="C22" s="8" t="s">
        <v>50</v>
      </c>
      <c r="D22" s="8" t="s">
        <v>371</v>
      </c>
      <c r="E22" s="8" t="s">
        <v>140</v>
      </c>
      <c r="F22" s="8" t="s">
        <v>372</v>
      </c>
    </row>
    <row r="23" ht="15.75" customHeight="1">
      <c r="A23" s="8" t="s">
        <v>373</v>
      </c>
      <c r="B23" s="8" t="s">
        <v>374</v>
      </c>
      <c r="C23" s="8" t="s">
        <v>375</v>
      </c>
      <c r="D23" s="8" t="s">
        <v>376</v>
      </c>
      <c r="E23" s="8" t="s">
        <v>140</v>
      </c>
      <c r="F23" s="8" t="s">
        <v>377</v>
      </c>
    </row>
    <row r="24" ht="15.75" customHeight="1">
      <c r="A24" s="8" t="s">
        <v>378</v>
      </c>
      <c r="B24" s="8" t="s">
        <v>379</v>
      </c>
      <c r="C24" s="8" t="s">
        <v>380</v>
      </c>
      <c r="D24" s="8" t="s">
        <v>381</v>
      </c>
      <c r="E24" s="8" t="s">
        <v>50</v>
      </c>
      <c r="F24" s="8" t="s">
        <v>382</v>
      </c>
    </row>
    <row r="25" ht="15.75" customHeight="1">
      <c r="A25" s="8" t="s">
        <v>383</v>
      </c>
      <c r="B25" s="8" t="s">
        <v>50</v>
      </c>
      <c r="C25" s="8" t="s">
        <v>50</v>
      </c>
      <c r="D25" s="8" t="s">
        <v>384</v>
      </c>
      <c r="E25" s="8" t="s">
        <v>50</v>
      </c>
      <c r="F25" s="8" t="s">
        <v>385</v>
      </c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9"/>
      <c r="B101" s="9"/>
      <c r="C101" s="9"/>
      <c r="D101" s="9"/>
      <c r="E101" s="9"/>
      <c r="F101" s="9"/>
    </row>
    <row r="102" ht="15.75" customHeight="1">
      <c r="A102" s="9"/>
      <c r="B102" s="9"/>
      <c r="C102" s="9"/>
      <c r="D102" s="9"/>
      <c r="E102" s="9"/>
      <c r="F102" s="9"/>
    </row>
    <row r="103" ht="15.75" customHeight="1">
      <c r="A103" s="9"/>
      <c r="B103" s="9"/>
      <c r="C103" s="9"/>
      <c r="D103" s="9"/>
      <c r="E103" s="9"/>
      <c r="F103" s="9"/>
    </row>
    <row r="104" ht="15.75" customHeight="1">
      <c r="A104" s="9"/>
      <c r="B104" s="9"/>
      <c r="C104" s="9"/>
      <c r="D104" s="9"/>
      <c r="E104" s="9"/>
      <c r="F104" s="9"/>
    </row>
    <row r="105" ht="15.75" customHeight="1">
      <c r="A105" s="9"/>
      <c r="B105" s="9"/>
      <c r="C105" s="9"/>
      <c r="D105" s="9"/>
      <c r="E105" s="9"/>
      <c r="F105" s="9"/>
    </row>
    <row r="106" ht="15.75" customHeight="1">
      <c r="A106" s="9"/>
      <c r="B106" s="9"/>
      <c r="C106" s="9"/>
      <c r="D106" s="9"/>
      <c r="E106" s="9"/>
      <c r="F106" s="9"/>
    </row>
    <row r="107" ht="15.75" customHeight="1">
      <c r="A107" s="9"/>
      <c r="B107" s="9"/>
      <c r="C107" s="9"/>
      <c r="D107" s="9"/>
      <c r="E107" s="9"/>
      <c r="F107" s="9"/>
    </row>
    <row r="108" ht="15.75" customHeight="1">
      <c r="A108" s="9"/>
      <c r="B108" s="9"/>
      <c r="C108" s="9"/>
      <c r="D108" s="9"/>
      <c r="E108" s="9"/>
      <c r="F108" s="9"/>
    </row>
    <row r="109" ht="15.75" customHeight="1">
      <c r="A109" s="9"/>
      <c r="B109" s="9"/>
      <c r="C109" s="9"/>
      <c r="D109" s="9"/>
      <c r="E109" s="9"/>
      <c r="F109" s="9"/>
    </row>
    <row r="110" ht="15.75" customHeight="1">
      <c r="A110" s="9"/>
      <c r="B110" s="9"/>
      <c r="C110" s="9"/>
      <c r="D110" s="9"/>
      <c r="E110" s="9"/>
      <c r="F110" s="9"/>
    </row>
    <row r="111" ht="15.75" customHeight="1">
      <c r="A111" s="9"/>
      <c r="B111" s="9"/>
      <c r="C111" s="9"/>
      <c r="D111" s="9"/>
      <c r="E111" s="9"/>
      <c r="F111" s="9"/>
    </row>
    <row r="112" ht="15.75" customHeight="1">
      <c r="A112" s="9"/>
      <c r="B112" s="9"/>
      <c r="C112" s="9"/>
      <c r="D112" s="9"/>
      <c r="E112" s="9"/>
      <c r="F112" s="9"/>
    </row>
    <row r="113" ht="15.75" customHeight="1">
      <c r="A113" s="9"/>
      <c r="B113" s="9"/>
      <c r="C113" s="9"/>
      <c r="D113" s="9"/>
      <c r="E113" s="9"/>
      <c r="F113" s="9"/>
    </row>
    <row r="114" ht="15.75" customHeight="1">
      <c r="A114" s="9"/>
      <c r="B114" s="9"/>
      <c r="C114" s="9"/>
      <c r="D114" s="9"/>
      <c r="E114" s="9"/>
      <c r="F114" s="9"/>
    </row>
    <row r="115" ht="15.75" customHeight="1">
      <c r="A115" s="9"/>
      <c r="B115" s="9"/>
      <c r="C115" s="9"/>
      <c r="D115" s="9"/>
      <c r="E115" s="9"/>
      <c r="F115" s="9"/>
    </row>
    <row r="116" ht="15.75" customHeight="1">
      <c r="A116" s="9"/>
      <c r="B116" s="9"/>
      <c r="C116" s="9"/>
      <c r="D116" s="9"/>
      <c r="E116" s="9"/>
      <c r="F116" s="9"/>
    </row>
    <row r="117" ht="15.75" customHeight="1">
      <c r="A117" s="9"/>
      <c r="B117" s="9"/>
      <c r="C117" s="9"/>
      <c r="D117" s="9"/>
      <c r="E117" s="9"/>
      <c r="F117" s="9"/>
    </row>
    <row r="118" ht="15.75" customHeight="1">
      <c r="A118" s="9"/>
      <c r="B118" s="9"/>
      <c r="C118" s="9"/>
      <c r="D118" s="9"/>
      <c r="E118" s="9"/>
      <c r="F118" s="9"/>
    </row>
    <row r="119" ht="15.75" customHeight="1">
      <c r="A119" s="9"/>
      <c r="B119" s="9"/>
      <c r="C119" s="9"/>
      <c r="D119" s="9"/>
      <c r="E119" s="9"/>
      <c r="F119" s="9"/>
    </row>
    <row r="120" ht="15.75" customHeight="1">
      <c r="A120" s="9"/>
      <c r="B120" s="9"/>
      <c r="C120" s="9"/>
      <c r="D120" s="9"/>
      <c r="E120" s="9"/>
      <c r="F120" s="9"/>
    </row>
    <row r="121" ht="15.75" customHeight="1">
      <c r="A121" s="9"/>
      <c r="B121" s="9"/>
      <c r="C121" s="9"/>
      <c r="D121" s="9"/>
      <c r="E121" s="9"/>
      <c r="F121" s="9"/>
    </row>
    <row r="122" ht="15.75" customHeight="1">
      <c r="A122" s="9"/>
      <c r="B122" s="9"/>
      <c r="C122" s="9"/>
      <c r="D122" s="9"/>
      <c r="E122" s="9"/>
      <c r="F122" s="9"/>
    </row>
    <row r="123" ht="15.75" customHeight="1">
      <c r="A123" s="9"/>
      <c r="B123" s="9"/>
      <c r="C123" s="9"/>
      <c r="D123" s="9"/>
      <c r="E123" s="9"/>
      <c r="F123" s="9"/>
    </row>
    <row r="124" ht="15.75" customHeight="1">
      <c r="A124" s="9"/>
      <c r="B124" s="9"/>
      <c r="C124" s="9"/>
      <c r="D124" s="9"/>
      <c r="E124" s="9"/>
      <c r="F124" s="9"/>
    </row>
    <row r="125" ht="15.75" customHeight="1">
      <c r="A125" s="9"/>
      <c r="B125" s="9"/>
      <c r="C125" s="9"/>
      <c r="D125" s="9"/>
      <c r="E125" s="9"/>
      <c r="F125" s="9"/>
    </row>
    <row r="126" ht="15.75" customHeight="1">
      <c r="A126" s="9"/>
      <c r="B126" s="9"/>
      <c r="C126" s="9"/>
      <c r="D126" s="9"/>
      <c r="E126" s="9"/>
      <c r="F126" s="9"/>
    </row>
    <row r="127" ht="15.75" customHeight="1">
      <c r="A127" s="9"/>
      <c r="B127" s="9"/>
      <c r="C127" s="9"/>
      <c r="D127" s="9"/>
      <c r="E127" s="9"/>
      <c r="F127" s="9"/>
    </row>
    <row r="128" ht="15.75" customHeight="1">
      <c r="A128" s="9"/>
      <c r="B128" s="9"/>
      <c r="C128" s="9"/>
      <c r="D128" s="9"/>
      <c r="E128" s="9"/>
      <c r="F128" s="9"/>
    </row>
    <row r="129" ht="15.75" customHeight="1">
      <c r="A129" s="9"/>
      <c r="B129" s="9"/>
      <c r="C129" s="9"/>
      <c r="D129" s="9"/>
      <c r="E129" s="9"/>
      <c r="F129" s="9"/>
    </row>
    <row r="130" ht="15.75" customHeight="1">
      <c r="A130" s="9"/>
      <c r="B130" s="9"/>
      <c r="C130" s="9"/>
      <c r="D130" s="9"/>
      <c r="E130" s="9"/>
      <c r="F130" s="9"/>
    </row>
    <row r="131" ht="15.75" customHeight="1">
      <c r="A131" s="9"/>
      <c r="B131" s="9"/>
      <c r="C131" s="9"/>
      <c r="D131" s="9"/>
      <c r="E131" s="9"/>
      <c r="F131" s="9"/>
    </row>
    <row r="132" ht="15.75" customHeight="1">
      <c r="A132" s="9"/>
      <c r="B132" s="9"/>
      <c r="C132" s="9"/>
      <c r="D132" s="9"/>
      <c r="E132" s="9"/>
      <c r="F132" s="9"/>
    </row>
    <row r="133" ht="15.75" customHeight="1">
      <c r="A133" s="9"/>
      <c r="B133" s="9"/>
      <c r="C133" s="9"/>
      <c r="D133" s="9"/>
      <c r="E133" s="9"/>
      <c r="F133" s="9"/>
    </row>
    <row r="134" ht="15.75" customHeight="1">
      <c r="A134" s="9"/>
      <c r="B134" s="9"/>
      <c r="C134" s="9"/>
      <c r="D134" s="9"/>
      <c r="E134" s="9"/>
      <c r="F134" s="9"/>
    </row>
    <row r="135" ht="15.75" customHeight="1">
      <c r="A135" s="9"/>
      <c r="B135" s="9"/>
      <c r="C135" s="9"/>
      <c r="D135" s="9"/>
      <c r="E135" s="9"/>
      <c r="F135" s="9"/>
    </row>
    <row r="136" ht="15.75" customHeight="1">
      <c r="A136" s="9"/>
      <c r="B136" s="9"/>
      <c r="C136" s="9"/>
      <c r="D136" s="9"/>
      <c r="E136" s="9"/>
      <c r="F136" s="9"/>
    </row>
    <row r="137" ht="15.75" customHeight="1">
      <c r="A137" s="9"/>
      <c r="B137" s="9"/>
      <c r="C137" s="9"/>
      <c r="D137" s="9"/>
      <c r="E137" s="9"/>
      <c r="F137" s="9"/>
    </row>
    <row r="138" ht="15.75" customHeight="1">
      <c r="A138" s="9"/>
      <c r="B138" s="9"/>
      <c r="C138" s="9"/>
      <c r="D138" s="9"/>
      <c r="E138" s="9"/>
      <c r="F138" s="9"/>
    </row>
    <row r="139" ht="15.75" customHeight="1">
      <c r="A139" s="9"/>
      <c r="B139" s="9"/>
      <c r="C139" s="9"/>
      <c r="D139" s="9"/>
      <c r="E139" s="9"/>
      <c r="F139" s="9"/>
    </row>
    <row r="140" ht="15.75" customHeight="1">
      <c r="A140" s="9"/>
      <c r="B140" s="9"/>
      <c r="C140" s="9"/>
      <c r="D140" s="9"/>
      <c r="E140" s="9"/>
      <c r="F140" s="9"/>
    </row>
    <row r="141" ht="15.75" customHeight="1">
      <c r="A141" s="9"/>
      <c r="B141" s="9"/>
      <c r="C141" s="9"/>
      <c r="D141" s="9"/>
      <c r="E141" s="9"/>
      <c r="F141" s="9"/>
    </row>
    <row r="142" ht="15.75" customHeight="1">
      <c r="A142" s="9"/>
      <c r="B142" s="9"/>
      <c r="C142" s="9"/>
      <c r="D142" s="9"/>
      <c r="E142" s="9"/>
      <c r="F142" s="9"/>
    </row>
    <row r="143" ht="15.75" customHeight="1">
      <c r="A143" s="9"/>
      <c r="B143" s="9"/>
      <c r="C143" s="9"/>
      <c r="D143" s="9"/>
      <c r="E143" s="9"/>
      <c r="F143" s="9"/>
    </row>
    <row r="144" ht="15.75" customHeight="1">
      <c r="A144" s="9"/>
      <c r="B144" s="9"/>
      <c r="C144" s="9"/>
      <c r="D144" s="9"/>
      <c r="E144" s="9"/>
      <c r="F144" s="9"/>
    </row>
    <row r="145" ht="15.75" customHeight="1">
      <c r="A145" s="9"/>
      <c r="B145" s="9"/>
      <c r="C145" s="9"/>
      <c r="D145" s="9"/>
      <c r="E145" s="9"/>
      <c r="F145" s="9"/>
    </row>
    <row r="146" ht="15.75" customHeight="1">
      <c r="A146" s="9"/>
      <c r="B146" s="9"/>
      <c r="C146" s="9"/>
      <c r="D146" s="9"/>
      <c r="E146" s="9"/>
      <c r="F146" s="9"/>
    </row>
    <row r="147" ht="15.75" customHeight="1">
      <c r="A147" s="9"/>
      <c r="B147" s="9"/>
      <c r="C147" s="9"/>
      <c r="D147" s="9"/>
      <c r="E147" s="9"/>
      <c r="F147" s="9"/>
    </row>
    <row r="148" ht="15.75" customHeight="1">
      <c r="A148" s="9"/>
      <c r="B148" s="9"/>
      <c r="C148" s="9"/>
      <c r="D148" s="9"/>
      <c r="E148" s="9"/>
      <c r="F148" s="9"/>
    </row>
    <row r="149" ht="15.75" customHeight="1">
      <c r="A149" s="9"/>
      <c r="B149" s="9"/>
      <c r="C149" s="9"/>
      <c r="D149" s="9"/>
      <c r="E149" s="9"/>
      <c r="F149" s="9"/>
    </row>
    <row r="150" ht="15.75" customHeight="1">
      <c r="A150" s="9"/>
      <c r="B150" s="9"/>
      <c r="C150" s="9"/>
      <c r="D150" s="9"/>
      <c r="E150" s="9"/>
      <c r="F150" s="9"/>
    </row>
    <row r="151" ht="15.75" customHeight="1">
      <c r="A151" s="9"/>
      <c r="B151" s="9"/>
      <c r="C151" s="9"/>
      <c r="D151" s="9"/>
      <c r="E151" s="9"/>
      <c r="F151" s="9"/>
    </row>
    <row r="152" ht="15.75" customHeight="1">
      <c r="A152" s="9"/>
      <c r="B152" s="9"/>
      <c r="C152" s="9"/>
      <c r="D152" s="9"/>
      <c r="E152" s="9"/>
      <c r="F152" s="9"/>
    </row>
    <row r="153" ht="15.75" customHeight="1">
      <c r="A153" s="9"/>
      <c r="B153" s="9"/>
      <c r="C153" s="9"/>
      <c r="D153" s="9"/>
      <c r="E153" s="9"/>
      <c r="F153" s="9"/>
    </row>
    <row r="154" ht="15.75" customHeight="1">
      <c r="A154" s="9"/>
      <c r="B154" s="9"/>
      <c r="C154" s="9"/>
      <c r="D154" s="9"/>
      <c r="E154" s="9"/>
      <c r="F154" s="9"/>
    </row>
    <row r="155" ht="15.75" customHeight="1">
      <c r="A155" s="9"/>
      <c r="B155" s="9"/>
      <c r="C155" s="9"/>
      <c r="D155" s="9"/>
      <c r="E155" s="9"/>
      <c r="F155" s="9"/>
    </row>
    <row r="156" ht="15.75" customHeight="1">
      <c r="A156" s="9"/>
      <c r="B156" s="9"/>
      <c r="C156" s="9"/>
      <c r="D156" s="9"/>
      <c r="E156" s="9"/>
      <c r="F156" s="9"/>
    </row>
    <row r="157" ht="15.75" customHeight="1">
      <c r="A157" s="9"/>
      <c r="B157" s="9"/>
      <c r="C157" s="9"/>
      <c r="D157" s="9"/>
      <c r="E157" s="9"/>
      <c r="F157" s="9"/>
    </row>
    <row r="158" ht="15.75" customHeight="1">
      <c r="A158" s="9"/>
      <c r="B158" s="9"/>
      <c r="C158" s="9"/>
      <c r="D158" s="9"/>
      <c r="E158" s="9"/>
      <c r="F158" s="9"/>
    </row>
    <row r="159" ht="15.75" customHeight="1">
      <c r="A159" s="9"/>
      <c r="B159" s="9"/>
      <c r="C159" s="9"/>
      <c r="D159" s="9"/>
      <c r="E159" s="9"/>
      <c r="F159" s="9"/>
    </row>
    <row r="160" ht="15.75" customHeight="1">
      <c r="A160" s="9"/>
      <c r="B160" s="9"/>
      <c r="C160" s="9"/>
      <c r="D160" s="9"/>
      <c r="E160" s="9"/>
      <c r="F160" s="9"/>
    </row>
    <row r="161" ht="15.75" customHeight="1">
      <c r="A161" s="9"/>
      <c r="B161" s="9"/>
      <c r="C161" s="9"/>
      <c r="D161" s="9"/>
      <c r="E161" s="9"/>
      <c r="F161" s="9"/>
    </row>
    <row r="162" ht="15.75" customHeight="1">
      <c r="A162" s="9"/>
      <c r="B162" s="9"/>
      <c r="C162" s="9"/>
      <c r="D162" s="9"/>
      <c r="E162" s="9"/>
      <c r="F162" s="9"/>
    </row>
    <row r="163" ht="15.75" customHeight="1">
      <c r="A163" s="9"/>
      <c r="B163" s="9"/>
      <c r="C163" s="9"/>
      <c r="D163" s="9"/>
      <c r="E163" s="9"/>
      <c r="F163" s="9"/>
    </row>
    <row r="164" ht="15.75" customHeight="1">
      <c r="A164" s="9"/>
      <c r="B164" s="9"/>
      <c r="C164" s="9"/>
      <c r="D164" s="9"/>
      <c r="E164" s="9"/>
      <c r="F164" s="9"/>
    </row>
    <row r="165" ht="15.75" customHeight="1">
      <c r="A165" s="9"/>
      <c r="B165" s="9"/>
      <c r="C165" s="9"/>
      <c r="D165" s="9"/>
      <c r="E165" s="9"/>
      <c r="F165" s="9"/>
    </row>
    <row r="166" ht="15.75" customHeight="1">
      <c r="A166" s="9"/>
      <c r="B166" s="9"/>
      <c r="C166" s="9"/>
      <c r="D166" s="9"/>
      <c r="E166" s="9"/>
      <c r="F166" s="9"/>
    </row>
    <row r="167" ht="15.75" customHeight="1">
      <c r="A167" s="9"/>
      <c r="B167" s="9"/>
      <c r="C167" s="9"/>
      <c r="D167" s="9"/>
      <c r="E167" s="9"/>
      <c r="F167" s="9"/>
    </row>
    <row r="168" ht="15.75" customHeight="1">
      <c r="A168" s="9"/>
      <c r="B168" s="9"/>
      <c r="C168" s="9"/>
      <c r="D168" s="9"/>
      <c r="E168" s="9"/>
      <c r="F168" s="9"/>
    </row>
    <row r="169" ht="15.75" customHeight="1">
      <c r="A169" s="9"/>
      <c r="B169" s="9"/>
      <c r="C169" s="9"/>
      <c r="D169" s="9"/>
      <c r="E169" s="9"/>
      <c r="F169" s="9"/>
    </row>
    <row r="170" ht="15.75" customHeight="1">
      <c r="A170" s="9"/>
      <c r="B170" s="9"/>
      <c r="C170" s="9"/>
      <c r="D170" s="9"/>
      <c r="E170" s="9"/>
      <c r="F170" s="9"/>
    </row>
    <row r="171" ht="15.75" customHeight="1">
      <c r="A171" s="9"/>
      <c r="B171" s="9"/>
      <c r="C171" s="9"/>
      <c r="D171" s="9"/>
      <c r="E171" s="9"/>
      <c r="F171" s="9"/>
    </row>
    <row r="172" ht="15.75" customHeight="1">
      <c r="A172" s="9"/>
      <c r="B172" s="9"/>
      <c r="C172" s="9"/>
      <c r="D172" s="9"/>
      <c r="E172" s="9"/>
      <c r="F172" s="9"/>
    </row>
    <row r="173" ht="15.75" customHeight="1">
      <c r="A173" s="9"/>
      <c r="B173" s="9"/>
      <c r="C173" s="9"/>
      <c r="D173" s="9"/>
      <c r="E173" s="9"/>
      <c r="F173" s="9"/>
    </row>
    <row r="174" ht="15.75" customHeight="1">
      <c r="A174" s="9"/>
      <c r="B174" s="9"/>
      <c r="C174" s="9"/>
      <c r="D174" s="9"/>
      <c r="E174" s="9"/>
      <c r="F174" s="9"/>
    </row>
    <row r="175" ht="15.75" customHeight="1">
      <c r="A175" s="9"/>
      <c r="B175" s="9"/>
      <c r="C175" s="9"/>
      <c r="D175" s="9"/>
      <c r="E175" s="9"/>
      <c r="F175" s="9"/>
    </row>
    <row r="176" ht="15.75" customHeight="1">
      <c r="A176" s="9"/>
      <c r="B176" s="9"/>
      <c r="C176" s="9"/>
      <c r="D176" s="9"/>
      <c r="E176" s="9"/>
      <c r="F176" s="9"/>
    </row>
    <row r="177" ht="15.75" customHeight="1">
      <c r="A177" s="9"/>
      <c r="B177" s="9"/>
      <c r="C177" s="9"/>
      <c r="D177" s="9"/>
      <c r="E177" s="9"/>
      <c r="F177" s="9"/>
    </row>
    <row r="178" ht="15.75" customHeight="1">
      <c r="A178" s="9"/>
      <c r="B178" s="9"/>
      <c r="C178" s="9"/>
      <c r="D178" s="9"/>
      <c r="E178" s="9"/>
      <c r="F178" s="9"/>
    </row>
    <row r="179" ht="15.75" customHeight="1">
      <c r="A179" s="9"/>
      <c r="B179" s="9"/>
      <c r="C179" s="9"/>
      <c r="D179" s="9"/>
      <c r="E179" s="9"/>
      <c r="F179" s="9"/>
    </row>
    <row r="180" ht="15.75" customHeight="1">
      <c r="A180" s="9"/>
      <c r="B180" s="9"/>
      <c r="C180" s="9"/>
      <c r="D180" s="9"/>
      <c r="E180" s="9"/>
      <c r="F180" s="9"/>
    </row>
    <row r="181" ht="15.75" customHeight="1">
      <c r="A181" s="9"/>
      <c r="B181" s="9"/>
      <c r="C181" s="9"/>
      <c r="D181" s="9"/>
      <c r="E181" s="9"/>
      <c r="F181" s="9"/>
    </row>
    <row r="182" ht="15.75" customHeight="1">
      <c r="A182" s="9"/>
      <c r="B182" s="9"/>
      <c r="C182" s="9"/>
      <c r="D182" s="9"/>
      <c r="E182" s="9"/>
      <c r="F182" s="9"/>
    </row>
    <row r="183" ht="15.75" customHeight="1">
      <c r="A183" s="9"/>
      <c r="B183" s="9"/>
      <c r="C183" s="9"/>
      <c r="D183" s="9"/>
      <c r="E183" s="9"/>
      <c r="F183" s="9"/>
    </row>
    <row r="184" ht="15.75" customHeight="1">
      <c r="A184" s="9"/>
      <c r="B184" s="9"/>
      <c r="C184" s="9"/>
      <c r="D184" s="9"/>
      <c r="E184" s="9"/>
      <c r="F184" s="9"/>
    </row>
    <row r="185" ht="15.75" customHeight="1">
      <c r="A185" s="9"/>
      <c r="B185" s="9"/>
      <c r="C185" s="9"/>
      <c r="D185" s="9"/>
      <c r="E185" s="9"/>
      <c r="F185" s="9"/>
    </row>
    <row r="186" ht="15.75" customHeight="1">
      <c r="A186" s="9"/>
      <c r="B186" s="9"/>
      <c r="C186" s="9"/>
      <c r="D186" s="9"/>
      <c r="E186" s="9"/>
      <c r="F186" s="9"/>
    </row>
    <row r="187" ht="15.75" customHeight="1">
      <c r="A187" s="9"/>
      <c r="B187" s="9"/>
      <c r="C187" s="9"/>
      <c r="D187" s="9"/>
      <c r="E187" s="9"/>
      <c r="F187" s="9"/>
    </row>
    <row r="188" ht="15.75" customHeight="1">
      <c r="A188" s="9"/>
      <c r="B188" s="9"/>
      <c r="C188" s="9"/>
      <c r="D188" s="9"/>
      <c r="E188" s="9"/>
      <c r="F188" s="9"/>
    </row>
    <row r="189" ht="15.75" customHeight="1">
      <c r="A189" s="9"/>
      <c r="B189" s="9"/>
      <c r="C189" s="9"/>
      <c r="D189" s="9"/>
      <c r="E189" s="9"/>
      <c r="F189" s="9"/>
    </row>
    <row r="190" ht="15.75" customHeight="1">
      <c r="A190" s="9"/>
      <c r="B190" s="9"/>
      <c r="C190" s="9"/>
      <c r="D190" s="9"/>
      <c r="E190" s="9"/>
      <c r="F190" s="9"/>
    </row>
    <row r="191" ht="15.75" customHeight="1">
      <c r="A191" s="9"/>
      <c r="B191" s="9"/>
      <c r="C191" s="9"/>
      <c r="D191" s="9"/>
      <c r="E191" s="9"/>
      <c r="F191" s="9"/>
    </row>
    <row r="192" ht="15.75" customHeight="1">
      <c r="A192" s="9"/>
      <c r="B192" s="9"/>
      <c r="C192" s="9"/>
      <c r="D192" s="9"/>
      <c r="E192" s="9"/>
      <c r="F192" s="9"/>
    </row>
    <row r="193" ht="15.75" customHeight="1">
      <c r="A193" s="9"/>
      <c r="B193" s="9"/>
      <c r="C193" s="9"/>
      <c r="D193" s="9"/>
      <c r="E193" s="9"/>
      <c r="F193" s="9"/>
    </row>
    <row r="194" ht="15.75" customHeight="1">
      <c r="A194" s="9"/>
      <c r="B194" s="9"/>
      <c r="C194" s="9"/>
      <c r="D194" s="9"/>
      <c r="E194" s="9"/>
      <c r="F194" s="9"/>
    </row>
    <row r="195" ht="15.75" customHeight="1">
      <c r="A195" s="9"/>
      <c r="B195" s="9"/>
      <c r="C195" s="9"/>
      <c r="D195" s="9"/>
      <c r="E195" s="9"/>
      <c r="F195" s="9"/>
    </row>
    <row r="196" ht="15.75" customHeight="1">
      <c r="A196" s="9"/>
      <c r="B196" s="9"/>
      <c r="C196" s="9"/>
      <c r="D196" s="9"/>
      <c r="E196" s="9"/>
      <c r="F196" s="9"/>
    </row>
    <row r="197" ht="15.75" customHeight="1">
      <c r="A197" s="9"/>
      <c r="B197" s="9"/>
      <c r="C197" s="9"/>
      <c r="D197" s="9"/>
      <c r="E197" s="9"/>
      <c r="F197" s="9"/>
    </row>
    <row r="198" ht="15.75" customHeight="1">
      <c r="A198" s="9"/>
      <c r="B198" s="9"/>
      <c r="C198" s="9"/>
      <c r="D198" s="9"/>
      <c r="E198" s="9"/>
      <c r="F198" s="9"/>
    </row>
    <row r="199" ht="15.75" customHeight="1">
      <c r="A199" s="9"/>
      <c r="B199" s="9"/>
      <c r="C199" s="9"/>
      <c r="D199" s="9"/>
      <c r="E199" s="9"/>
      <c r="F199" s="9"/>
    </row>
    <row r="200" ht="15.75" customHeight="1">
      <c r="A200" s="9"/>
      <c r="B200" s="9"/>
      <c r="C200" s="9"/>
      <c r="D200" s="9"/>
      <c r="E200" s="9"/>
      <c r="F200" s="9"/>
    </row>
    <row r="201" ht="15.75" customHeight="1">
      <c r="A201" s="9"/>
      <c r="B201" s="9"/>
      <c r="C201" s="9"/>
      <c r="D201" s="9"/>
      <c r="E201" s="9"/>
      <c r="F201" s="9"/>
    </row>
    <row r="202" ht="15.75" customHeight="1">
      <c r="A202" s="9"/>
      <c r="B202" s="9"/>
      <c r="C202" s="9"/>
      <c r="D202" s="9"/>
      <c r="E202" s="9"/>
      <c r="F202" s="9"/>
    </row>
    <row r="203" ht="15.75" customHeight="1">
      <c r="A203" s="9"/>
      <c r="B203" s="9"/>
      <c r="C203" s="9"/>
      <c r="D203" s="9"/>
      <c r="E203" s="9"/>
      <c r="F203" s="9"/>
    </row>
    <row r="204" ht="15.75" customHeight="1">
      <c r="A204" s="9"/>
      <c r="B204" s="9"/>
      <c r="C204" s="9"/>
      <c r="D204" s="9"/>
      <c r="E204" s="9"/>
      <c r="F204" s="9"/>
    </row>
    <row r="205" ht="15.75" customHeight="1">
      <c r="A205" s="9"/>
      <c r="B205" s="9"/>
      <c r="C205" s="9"/>
      <c r="D205" s="9"/>
      <c r="E205" s="9"/>
      <c r="F205" s="9"/>
    </row>
    <row r="206" ht="15.75" customHeight="1">
      <c r="A206" s="9"/>
      <c r="B206" s="9"/>
      <c r="C206" s="9"/>
      <c r="D206" s="9"/>
      <c r="E206" s="9"/>
      <c r="F206" s="9"/>
    </row>
    <row r="207" ht="15.75" customHeight="1">
      <c r="A207" s="9"/>
      <c r="B207" s="9"/>
      <c r="C207" s="9"/>
      <c r="D207" s="9"/>
      <c r="E207" s="9"/>
      <c r="F207" s="9"/>
    </row>
    <row r="208" ht="15.75" customHeight="1">
      <c r="A208" s="9"/>
      <c r="B208" s="9"/>
      <c r="C208" s="9"/>
      <c r="D208" s="9"/>
      <c r="E208" s="9"/>
      <c r="F208" s="9"/>
    </row>
    <row r="209" ht="15.75" customHeight="1">
      <c r="A209" s="9"/>
      <c r="B209" s="9"/>
      <c r="C209" s="9"/>
      <c r="D209" s="9"/>
      <c r="E209" s="9"/>
      <c r="F209" s="9"/>
    </row>
    <row r="210" ht="15.75" customHeight="1">
      <c r="A210" s="9"/>
      <c r="B210" s="9"/>
      <c r="C210" s="9"/>
      <c r="D210" s="9"/>
      <c r="E210" s="9"/>
      <c r="F210" s="9"/>
    </row>
    <row r="211" ht="15.75" customHeight="1">
      <c r="A211" s="9"/>
      <c r="B211" s="9"/>
      <c r="C211" s="9"/>
      <c r="D211" s="9"/>
      <c r="E211" s="9"/>
      <c r="F211" s="9"/>
    </row>
    <row r="212" ht="15.75" customHeight="1">
      <c r="A212" s="9"/>
      <c r="B212" s="9"/>
      <c r="C212" s="9"/>
      <c r="D212" s="9"/>
      <c r="E212" s="9"/>
      <c r="F212" s="9"/>
    </row>
    <row r="213" ht="15.75" customHeight="1">
      <c r="A213" s="9"/>
      <c r="B213" s="9"/>
      <c r="C213" s="9"/>
      <c r="D213" s="9"/>
      <c r="E213" s="9"/>
      <c r="F213" s="9"/>
    </row>
    <row r="214" ht="15.75" customHeight="1">
      <c r="A214" s="9"/>
      <c r="B214" s="9"/>
      <c r="C214" s="9"/>
      <c r="D214" s="9"/>
      <c r="E214" s="9"/>
      <c r="F214" s="9"/>
    </row>
    <row r="215" ht="15.75" customHeight="1">
      <c r="A215" s="9"/>
      <c r="B215" s="9"/>
      <c r="C215" s="9"/>
      <c r="D215" s="9"/>
      <c r="E215" s="9"/>
      <c r="F215" s="9"/>
    </row>
    <row r="216" ht="15.75" customHeight="1">
      <c r="A216" s="9"/>
      <c r="B216" s="9"/>
      <c r="C216" s="9"/>
      <c r="D216" s="9"/>
      <c r="E216" s="9"/>
      <c r="F216" s="9"/>
    </row>
    <row r="217" ht="15.75" customHeight="1">
      <c r="A217" s="9"/>
      <c r="B217" s="9"/>
      <c r="C217" s="9"/>
      <c r="D217" s="9"/>
      <c r="E217" s="9"/>
      <c r="F217" s="9"/>
    </row>
    <row r="218" ht="15.75" customHeight="1">
      <c r="A218" s="9"/>
      <c r="B218" s="9"/>
      <c r="C218" s="9"/>
      <c r="D218" s="9"/>
      <c r="E218" s="9"/>
      <c r="F218" s="9"/>
    </row>
    <row r="219" ht="15.75" customHeight="1">
      <c r="A219" s="9"/>
      <c r="B219" s="9"/>
      <c r="C219" s="9"/>
      <c r="D219" s="9"/>
      <c r="E219" s="9"/>
      <c r="F219" s="9"/>
    </row>
    <row r="220" ht="15.75" customHeight="1">
      <c r="A220" s="9"/>
      <c r="B220" s="9"/>
      <c r="C220" s="9"/>
      <c r="D220" s="9"/>
      <c r="E220" s="9"/>
      <c r="F220" s="9"/>
    </row>
    <row r="221" ht="15.75" customHeight="1">
      <c r="A221" s="9"/>
      <c r="B221" s="9"/>
      <c r="C221" s="9"/>
      <c r="D221" s="9"/>
      <c r="E221" s="9"/>
      <c r="F221" s="9"/>
    </row>
    <row r="222" ht="15.75" customHeight="1">
      <c r="A222" s="9"/>
      <c r="B222" s="9"/>
      <c r="C222" s="9"/>
      <c r="D222" s="9"/>
      <c r="E222" s="9"/>
      <c r="F222" s="9"/>
    </row>
    <row r="223" ht="15.75" customHeight="1">
      <c r="A223" s="9"/>
      <c r="B223" s="9"/>
      <c r="C223" s="9"/>
      <c r="D223" s="9"/>
      <c r="E223" s="9"/>
      <c r="F223" s="9"/>
    </row>
    <row r="224" ht="15.75" customHeight="1">
      <c r="A224" s="9"/>
      <c r="B224" s="9"/>
      <c r="C224" s="9"/>
      <c r="D224" s="9"/>
      <c r="E224" s="9"/>
      <c r="F224" s="9"/>
    </row>
    <row r="225" ht="15.75" customHeight="1">
      <c r="A225" s="9"/>
      <c r="B225" s="9"/>
      <c r="C225" s="9"/>
      <c r="D225" s="9"/>
      <c r="E225" s="9"/>
      <c r="F225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5.71"/>
    <col customWidth="1" min="3" max="3" width="28.71"/>
    <col customWidth="1" min="4" max="4" width="36.0"/>
    <col customWidth="1" min="5" max="5" width="28.71"/>
  </cols>
  <sheetData>
    <row r="1">
      <c r="A1" s="10" t="s">
        <v>56</v>
      </c>
      <c r="B1" s="10" t="s">
        <v>386</v>
      </c>
      <c r="C1" s="10" t="s">
        <v>58</v>
      </c>
      <c r="D1" s="10" t="s">
        <v>387</v>
      </c>
      <c r="E1" s="10" t="s">
        <v>388</v>
      </c>
      <c r="F1" s="10"/>
      <c r="G1" s="10"/>
      <c r="H1" s="10"/>
      <c r="I1" s="10"/>
      <c r="J1" s="10"/>
      <c r="K1" s="10"/>
    </row>
    <row r="2">
      <c r="A2" s="11">
        <v>1.0</v>
      </c>
      <c r="B2" s="10" t="s">
        <v>389</v>
      </c>
      <c r="C2" s="10" t="s">
        <v>390</v>
      </c>
      <c r="D2" s="10" t="s">
        <v>391</v>
      </c>
      <c r="E2" s="10" t="s">
        <v>392</v>
      </c>
      <c r="F2" s="10"/>
      <c r="G2" s="10"/>
      <c r="H2" s="10"/>
      <c r="I2" s="10"/>
      <c r="J2" s="10"/>
      <c r="K2" s="10"/>
    </row>
    <row r="3">
      <c r="A3" s="11">
        <v>2.0</v>
      </c>
      <c r="B3" s="10" t="s">
        <v>393</v>
      </c>
      <c r="C3" s="10" t="s">
        <v>394</v>
      </c>
      <c r="D3" s="10" t="s">
        <v>395</v>
      </c>
      <c r="E3" s="10" t="s">
        <v>396</v>
      </c>
      <c r="F3" s="10"/>
      <c r="G3" s="10"/>
      <c r="H3" s="10"/>
      <c r="I3" s="10"/>
      <c r="J3" s="10"/>
      <c r="K3" s="10"/>
    </row>
    <row r="4">
      <c r="A4" s="11">
        <v>3.0</v>
      </c>
      <c r="B4" s="10" t="s">
        <v>397</v>
      </c>
      <c r="C4" s="10" t="s">
        <v>398</v>
      </c>
      <c r="D4" s="10" t="s">
        <v>399</v>
      </c>
      <c r="E4" s="10" t="s">
        <v>400</v>
      </c>
      <c r="F4" s="10"/>
      <c r="G4" s="10"/>
      <c r="H4" s="10"/>
      <c r="I4" s="10"/>
      <c r="J4" s="10"/>
      <c r="K4" s="10"/>
    </row>
    <row r="5">
      <c r="A5" s="11">
        <v>4.0</v>
      </c>
      <c r="B5" s="10" t="s">
        <v>324</v>
      </c>
      <c r="C5" s="10" t="s">
        <v>401</v>
      </c>
      <c r="D5" s="10" t="s">
        <v>402</v>
      </c>
      <c r="E5" s="10" t="s">
        <v>403</v>
      </c>
      <c r="F5" s="10"/>
      <c r="G5" s="10"/>
      <c r="H5" s="10"/>
      <c r="I5" s="10"/>
      <c r="J5" s="10"/>
      <c r="K5" s="10"/>
    </row>
    <row r="6">
      <c r="A6" s="11">
        <v>5.0</v>
      </c>
      <c r="B6" s="10" t="s">
        <v>329</v>
      </c>
      <c r="C6" s="10" t="s">
        <v>404</v>
      </c>
      <c r="D6" s="10" t="s">
        <v>405</v>
      </c>
      <c r="E6" s="10" t="s">
        <v>406</v>
      </c>
      <c r="F6" s="10"/>
      <c r="G6" s="10"/>
      <c r="H6" s="10"/>
      <c r="I6" s="10"/>
      <c r="J6" s="10"/>
      <c r="K6" s="10"/>
    </row>
    <row r="7">
      <c r="A7" s="11">
        <v>6.0</v>
      </c>
      <c r="B7" s="10" t="s">
        <v>407</v>
      </c>
      <c r="C7" s="10" t="s">
        <v>408</v>
      </c>
      <c r="D7" s="10" t="s">
        <v>50</v>
      </c>
      <c r="E7" s="10" t="s">
        <v>409</v>
      </c>
      <c r="F7" s="10"/>
      <c r="G7" s="10"/>
      <c r="H7" s="10"/>
      <c r="I7" s="10"/>
      <c r="J7" s="10"/>
      <c r="K7" s="10"/>
    </row>
    <row r="8">
      <c r="A8" s="11">
        <v>7.0</v>
      </c>
      <c r="B8" s="10" t="s">
        <v>410</v>
      </c>
      <c r="C8" s="10" t="s">
        <v>411</v>
      </c>
      <c r="D8" s="10" t="s">
        <v>412</v>
      </c>
      <c r="E8" s="10" t="s">
        <v>413</v>
      </c>
      <c r="F8" s="10"/>
      <c r="G8" s="10"/>
      <c r="H8" s="10"/>
      <c r="I8" s="10"/>
      <c r="J8" s="10"/>
      <c r="K8" s="10"/>
    </row>
    <row r="9">
      <c r="A9" s="11">
        <v>8.0</v>
      </c>
      <c r="B9" s="10" t="s">
        <v>414</v>
      </c>
      <c r="C9" s="10" t="s">
        <v>415</v>
      </c>
      <c r="D9" s="10" t="s">
        <v>416</v>
      </c>
      <c r="E9" s="10" t="s">
        <v>417</v>
      </c>
      <c r="F9" s="10"/>
      <c r="G9" s="10"/>
      <c r="H9" s="10"/>
      <c r="I9" s="10"/>
      <c r="J9" s="10"/>
      <c r="K9" s="10"/>
    </row>
    <row r="10">
      <c r="A10" s="11">
        <v>9.0</v>
      </c>
      <c r="B10" s="10" t="s">
        <v>339</v>
      </c>
      <c r="C10" s="10" t="s">
        <v>418</v>
      </c>
      <c r="D10" s="10" t="s">
        <v>50</v>
      </c>
      <c r="E10" s="10" t="s">
        <v>419</v>
      </c>
      <c r="F10" s="10"/>
      <c r="G10" s="10"/>
      <c r="H10" s="10"/>
      <c r="I10" s="10"/>
      <c r="J10" s="10"/>
      <c r="K10" s="10"/>
    </row>
    <row r="11">
      <c r="A11" s="11">
        <v>10.0</v>
      </c>
      <c r="B11" s="10" t="s">
        <v>348</v>
      </c>
      <c r="C11" s="10" t="s">
        <v>420</v>
      </c>
      <c r="D11" s="10" t="s">
        <v>421</v>
      </c>
      <c r="E11" s="10" t="s">
        <v>422</v>
      </c>
      <c r="F11" s="10"/>
      <c r="G11" s="10"/>
      <c r="H11" s="10"/>
      <c r="I11" s="10"/>
      <c r="J11" s="10"/>
      <c r="K11" s="10"/>
    </row>
    <row r="12">
      <c r="A12" s="11">
        <v>11.0</v>
      </c>
      <c r="B12" s="10" t="s">
        <v>361</v>
      </c>
      <c r="C12" s="10" t="s">
        <v>423</v>
      </c>
      <c r="D12" s="10" t="s">
        <v>424</v>
      </c>
      <c r="E12" s="10" t="s">
        <v>425</v>
      </c>
      <c r="F12" s="10"/>
      <c r="G12" s="10"/>
      <c r="H12" s="10"/>
      <c r="I12" s="10"/>
      <c r="J12" s="10"/>
      <c r="K12" s="10"/>
    </row>
    <row r="13">
      <c r="A13" s="11">
        <v>12.0</v>
      </c>
      <c r="B13" s="10" t="s">
        <v>373</v>
      </c>
      <c r="C13" s="10" t="s">
        <v>426</v>
      </c>
      <c r="D13" s="10" t="s">
        <v>50</v>
      </c>
      <c r="E13" s="10" t="s">
        <v>377</v>
      </c>
      <c r="F13" s="10"/>
      <c r="G13" s="10"/>
      <c r="H13" s="10"/>
      <c r="I13" s="10"/>
      <c r="J13" s="10"/>
      <c r="K13" s="10"/>
    </row>
    <row r="14">
      <c r="A14" s="11">
        <v>13.0</v>
      </c>
      <c r="B14" s="10" t="s">
        <v>427</v>
      </c>
      <c r="C14" s="10" t="s">
        <v>428</v>
      </c>
      <c r="D14" s="10" t="s">
        <v>50</v>
      </c>
      <c r="E14" s="10" t="s">
        <v>429</v>
      </c>
      <c r="F14" s="10"/>
      <c r="G14" s="10"/>
      <c r="H14" s="10"/>
      <c r="I14" s="10"/>
      <c r="J14" s="10"/>
      <c r="K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2025-12-27T22:38:24Z</dcterms:created>
  <dc:creator>openpyxl</dc:creator>
  <dcterms:modified xsi:type="dcterms:W3CDTF">2025-12-27T22:38:24Z</dcterms:modified>
</cp:coreProperties>
</file>