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er Equations" sheetId="1" r:id="rId4"/>
  </sheets>
  <definedNames/>
  <calcPr/>
</workbook>
</file>

<file path=xl/sharedStrings.xml><?xml version="1.0" encoding="utf-8"?>
<sst xmlns="http://schemas.openxmlformats.org/spreadsheetml/2006/main" count="53" uniqueCount="53">
  <si>
    <t>No.</t>
  </si>
  <si>
    <t>Equation Name</t>
  </si>
  <si>
    <t>Excel Formula (Active)</t>
  </si>
  <si>
    <t>Equation 1</t>
  </si>
  <si>
    <t>Equation 2</t>
  </si>
  <si>
    <t>Equation 3</t>
  </si>
  <si>
    <t>Equation 4</t>
  </si>
  <si>
    <t>Equation 5</t>
  </si>
  <si>
    <t>Equation 6</t>
  </si>
  <si>
    <t>Equation 7</t>
  </si>
  <si>
    <t>Equation 8</t>
  </si>
  <si>
    <t>Equation 9</t>
  </si>
  <si>
    <t>Equation 10</t>
  </si>
  <si>
    <t>Equation 11</t>
  </si>
  <si>
    <t>Equation 12</t>
  </si>
  <si>
    <t>Equation 13</t>
  </si>
  <si>
    <t>Equation 14</t>
  </si>
  <si>
    <t>Equation 15</t>
  </si>
  <si>
    <t>Equation 16</t>
  </si>
  <si>
    <t>Equation 17</t>
  </si>
  <si>
    <t>Equation 18</t>
  </si>
  <si>
    <t>Equation 19</t>
  </si>
  <si>
    <t>Equation 20</t>
  </si>
  <si>
    <t>Equation 21</t>
  </si>
  <si>
    <t>Equation 22</t>
  </si>
  <si>
    <t>Equation 23</t>
  </si>
  <si>
    <t>Equation 24</t>
  </si>
  <si>
    <t>Equation 25</t>
  </si>
  <si>
    <t>Equation 26</t>
  </si>
  <si>
    <t>Equation 27</t>
  </si>
  <si>
    <t>Equation 28</t>
  </si>
  <si>
    <t>Equation 29</t>
  </si>
  <si>
    <t>Equation 30</t>
  </si>
  <si>
    <t>Equation 31</t>
  </si>
  <si>
    <t>Equation 32</t>
  </si>
  <si>
    <t>Equation 33</t>
  </si>
  <si>
    <t>Equation 34</t>
  </si>
  <si>
    <t>Equation 35</t>
  </si>
  <si>
    <t>Equation 36</t>
  </si>
  <si>
    <t>Equation 37</t>
  </si>
  <si>
    <t>Equation 38</t>
  </si>
  <si>
    <t>Equation 39</t>
  </si>
  <si>
    <t>Equation 40</t>
  </si>
  <si>
    <t>Equation 41</t>
  </si>
  <si>
    <t>Equation 42</t>
  </si>
  <si>
    <t>Equation 43</t>
  </si>
  <si>
    <t>Equation 44</t>
  </si>
  <si>
    <t>Equation 45</t>
  </si>
  <si>
    <t>Equation 46</t>
  </si>
  <si>
    <t>Equation 47</t>
  </si>
  <si>
    <t>Equation 48</t>
  </si>
  <si>
    <t>Equation 49</t>
  </si>
  <si>
    <t>Equation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</si>
</sst>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57"/>
    <col customWidth="1" min="3" max="3" width="22.29"/>
    <col customWidth="1" min="4" max="11" width="8.71"/>
  </cols>
  <sheetData>
    <row r="1">
      <c r="A1" t="s">
        <v>0</v>
      </c>
      <c r="B1" t="s">
        <v>1</v>
      </c>
      <c r="C1" t="s">
        <v>2</v>
      </c>
    </row>
    <row r="2">
      <c r="A2">
        <v>1.0</v>
      </c>
      <c r="B2" t="s">
        <v>3</v>
      </c>
      <c r="C2" t="str">
        <f>PI()/4*(0.06^2-0.016^2)</f>
        <v>0.002626371458</v>
      </c>
    </row>
    <row r="3">
      <c r="A3">
        <v>2.0</v>
      </c>
      <c r="B3" t="s">
        <v>4</v>
      </c>
      <c r="C3" t="str">
        <f>0.06/2</f>
        <v>0.03</v>
      </c>
    </row>
    <row r="4">
      <c r="A4">
        <v>3.0</v>
      </c>
      <c r="B4" t="s">
        <v>5</v>
      </c>
      <c r="C4" t="str">
        <f>0.016/2</f>
        <v>0.008</v>
      </c>
    </row>
    <row r="5">
      <c r="A5">
        <v>4.0</v>
      </c>
      <c r="B5" t="s">
        <v>6</v>
      </c>
      <c r="C5" t="str">
        <f>(0.06/2+0.016/2)/2</f>
        <v>0.019</v>
      </c>
    </row>
    <row r="6">
      <c r="A6">
        <v>5.0</v>
      </c>
      <c r="B6" t="s">
        <v>7</v>
      </c>
      <c r="C6" t="str">
        <f>(0.06-0.016)/2</f>
        <v>0.022</v>
      </c>
    </row>
    <row r="7">
      <c r="A7">
        <v>6.0</v>
      </c>
      <c r="B7" t="s">
        <v>8</v>
      </c>
      <c r="C7" t="str">
        <f>PI()*0.06</f>
        <v>0.1884955592</v>
      </c>
    </row>
    <row r="8">
      <c r="A8">
        <v>7.0</v>
      </c>
      <c r="B8" t="s">
        <v>9</v>
      </c>
      <c r="C8" t="str">
        <f>PI()*0.016</f>
        <v>0.05026548246</v>
      </c>
    </row>
    <row r="9">
      <c r="A9">
        <v>8.0</v>
      </c>
      <c r="B9" t="s">
        <v>10</v>
      </c>
      <c r="C9" t="str">
        <f>PI()/4*(0.06^2-0.016^2)*0.06</f>
        <v>0.0001575822875</v>
      </c>
    </row>
    <row r="10">
      <c r="A10">
        <v>9.0</v>
      </c>
      <c r="B10" t="s">
        <v>11</v>
      </c>
      <c r="C10" t="str">
        <f>0.6*PI()/4*(0.06^2-0.016^2)*0.06</f>
        <v>0.0000945493725</v>
      </c>
    </row>
    <row r="11">
      <c r="A11">
        <v>10.0</v>
      </c>
      <c r="B11" t="s">
        <v>12</v>
      </c>
      <c r="C11" t="str">
        <f>0.6*PI()/4*(0.06^2-0.016^2)*0.06*4.5</f>
        <v>0.0004254721763</v>
      </c>
    </row>
    <row r="12">
      <c r="A12">
        <v>11.0</v>
      </c>
      <c r="B12" t="s">
        <v>13</v>
      </c>
      <c r="C12" t="str">
        <f>0.6*PI()/4*(0.06^2-0.016^2)*0.06</f>
        <v>0.0000945493725</v>
      </c>
    </row>
    <row r="13">
      <c r="A13">
        <v>12.0</v>
      </c>
      <c r="B13" t="s">
        <v>14</v>
      </c>
      <c r="C13" t="str">
        <f>0.6*PI()/4*(0.06^2-0.016^2)*0.06/360</f>
        <v>0.0000002626371458</v>
      </c>
    </row>
    <row r="14">
      <c r="A14">
        <v>13.0</v>
      </c>
      <c r="B14" t="s">
        <v>15</v>
      </c>
      <c r="C14" t="str">
        <f>0.6*PI()/4*(0.06^2-0.016^2)*0.06/8388608</f>
        <v>0</v>
      </c>
    </row>
    <row r="15">
      <c r="A15">
        <v>14.0</v>
      </c>
      <c r="B15" t="s">
        <v>16</v>
      </c>
      <c r="C15" t="str">
        <f t="shared" ref="C15:C16" si="1">1300*0.6*PI()/4*(0.06^2-0.016^2)*0.06</f>
        <v>0.1229141843</v>
      </c>
    </row>
    <row r="16">
      <c r="A16">
        <v>15.0</v>
      </c>
      <c r="B16" t="s">
        <v>17</v>
      </c>
      <c r="C16" t="str">
        <f t="shared" si="1"/>
        <v>0.1229141843</v>
      </c>
    </row>
    <row r="17">
      <c r="A17">
        <v>16.0</v>
      </c>
      <c r="B17" t="s">
        <v>18</v>
      </c>
      <c r="C17" t="str">
        <f>1300*0.6*PI()/4*(0.06^2-0.016^2)*0.06*4.5</f>
        <v>0.5531138291</v>
      </c>
    </row>
    <row r="18">
      <c r="A18">
        <v>17.0</v>
      </c>
      <c r="B18" t="s">
        <v>19</v>
      </c>
      <c r="C18" t="str">
        <f>0.6*PI()/4*(0.06^2-0.016^2)*0.06*1</f>
        <v>0.0000945493725</v>
      </c>
    </row>
    <row r="19">
      <c r="A19">
        <v>18.0</v>
      </c>
      <c r="B19" t="s">
        <v>20</v>
      </c>
      <c r="C19" t="str">
        <f>1300*0.6*PI()/4*(0.06^2-0.016^2)*0.06*1</f>
        <v>0.1229141843</v>
      </c>
    </row>
    <row r="20">
      <c r="A20">
        <v>19.0</v>
      </c>
      <c r="B20" t="s">
        <v>21</v>
      </c>
      <c r="C20" t="str">
        <f>1</f>
        <v>1</v>
      </c>
    </row>
    <row r="21" ht="15.75" customHeight="1">
      <c r="A21">
        <v>20.0</v>
      </c>
      <c r="B21" t="s">
        <v>22</v>
      </c>
      <c r="C21" t="str">
        <f t="shared" ref="C21:C22" si="2">1/(1300*0.6*PI()/4*(0.06^2-0.016^2)*0.06)</f>
        <v>8.135757529</v>
      </c>
    </row>
    <row r="22" ht="15.75" customHeight="1">
      <c r="A22">
        <v>21.0</v>
      </c>
      <c r="B22" t="s">
        <v>23</v>
      </c>
      <c r="C22" t="str">
        <f t="shared" si="2"/>
        <v>8.135757529</v>
      </c>
    </row>
    <row r="23" ht="15.75" customHeight="1">
      <c r="A23">
        <v>22.0</v>
      </c>
      <c r="B23" t="s">
        <v>24</v>
      </c>
      <c r="C23" t="str">
        <f>360/(1300*0.6*PI()/4*(0.06^2-0.016^2)*0.06)</f>
        <v>2928.872711</v>
      </c>
    </row>
    <row r="24" ht="15.75" customHeight="1">
      <c r="A24">
        <v>23.0</v>
      </c>
      <c r="B24" t="s">
        <v>25</v>
      </c>
      <c r="C24" t="str">
        <f>1/(1300*0.6*PI()/4*(0.06^2-0.016^2)*0.06*8)</f>
        <v>1.016969691</v>
      </c>
    </row>
    <row r="25" ht="15.75" customHeight="1">
      <c r="A25">
        <v>24.0</v>
      </c>
      <c r="B25" t="s">
        <v>26</v>
      </c>
      <c r="C25" t="str">
        <f>PI()/4*0.1^2</f>
        <v>0.007853981634</v>
      </c>
    </row>
    <row r="26" ht="15.75" customHeight="1">
      <c r="A26">
        <v>25.0</v>
      </c>
      <c r="B26" t="s">
        <v>27</v>
      </c>
      <c r="C26" t="str">
        <f>PI()*(0.05^2-0.034775^2)</f>
        <v>0.004054851674</v>
      </c>
    </row>
    <row r="27" ht="15.75" customHeight="1">
      <c r="A27">
        <v>26.0</v>
      </c>
      <c r="B27" t="s">
        <v>28</v>
      </c>
      <c r="C27" t="str">
        <f>PI()/4*0.1^2*0.01</f>
        <v>0.00007853981634</v>
      </c>
    </row>
    <row r="28" ht="15.75" customHeight="1">
      <c r="A28">
        <v>27.0</v>
      </c>
      <c r="B28" t="s">
        <v>29</v>
      </c>
      <c r="C28" t="str">
        <f>1300*PI()/4*0.1^2*0.01</f>
        <v>0.1021017612</v>
      </c>
    </row>
    <row r="29" ht="15.75" customHeight="1">
      <c r="A29">
        <v>28.0</v>
      </c>
      <c r="B29" t="s">
        <v>30</v>
      </c>
      <c r="C29" t="str">
        <f>DEGREES(ATAN(0.01/(0.05-0.034775)))</f>
        <v>33.29748744</v>
      </c>
    </row>
    <row r="30" ht="15.75" customHeight="1">
      <c r="A30">
        <v>29.0</v>
      </c>
      <c r="B30" t="s">
        <v>31</v>
      </c>
      <c r="C30" t="str">
        <f>PI()/4*0.3^2*0.4</f>
        <v>0.02827433388</v>
      </c>
    </row>
    <row r="31" ht="15.75" customHeight="1">
      <c r="A31">
        <v>30.0</v>
      </c>
      <c r="B31" t="s">
        <v>32</v>
      </c>
      <c r="C31" t="str">
        <f>PI()/12*0.2*(0.3^2+0.3*0.1+0.1^2)</f>
        <v>0.006806784083</v>
      </c>
    </row>
    <row r="32" ht="15.75" customHeight="1">
      <c r="A32">
        <v>31.0</v>
      </c>
      <c r="B32" t="s">
        <v>33</v>
      </c>
      <c r="C32" t="str">
        <f>0.85*(PI()/4*0.3^2*0.4)</f>
        <v>0.0240331838</v>
      </c>
    </row>
    <row r="33" ht="15.75" customHeight="1">
      <c r="A33">
        <v>32.0</v>
      </c>
      <c r="B33" t="s">
        <v>34</v>
      </c>
      <c r="C33" t="str">
        <f>1300*0.85*(PI()/4*0.3^2*0.4)</f>
        <v>31.24313894</v>
      </c>
    </row>
    <row r="34" ht="15.75" customHeight="1">
      <c r="A34">
        <v>33.0</v>
      </c>
      <c r="B34" t="s">
        <v>35</v>
      </c>
      <c r="C34" t="str">
        <f>(1300*0.85*(PI()/4*0.3^2*0.4))/(1300*0.6*PI()/4*(0.06^2-0.016^2)*0.06)</f>
        <v>254.1866029</v>
      </c>
    </row>
    <row r="35" ht="15.75" customHeight="1">
      <c r="A35">
        <v>34.0</v>
      </c>
      <c r="B35" t="s">
        <v>36</v>
      </c>
      <c r="C35" t="str">
        <f>0.15*0.2*0.08</f>
        <v>0.0024</v>
      </c>
    </row>
    <row r="36" ht="15.75" customHeight="1">
      <c r="A36">
        <v>35.0</v>
      </c>
      <c r="B36" t="s">
        <v>37</v>
      </c>
      <c r="C36" t="str">
        <f>0.15*0.2*0.08*0.75</f>
        <v>0.0018</v>
      </c>
    </row>
    <row r="37" ht="15.75" customHeight="1">
      <c r="A37">
        <v>36.0</v>
      </c>
      <c r="B37" t="s">
        <v>38</v>
      </c>
      <c r="C37" t="str">
        <f>1300*(0.15*0.2*0.08*0.75)</f>
        <v>2.34</v>
      </c>
    </row>
    <row r="38" ht="15.75" customHeight="1">
      <c r="A38">
        <v>37.0</v>
      </c>
      <c r="B38" t="s">
        <v>39</v>
      </c>
      <c r="C38" t="str">
        <f>2*(0.15+0.08)+0.02</f>
        <v>0.48</v>
      </c>
    </row>
    <row r="39" ht="15.75" customHeight="1">
      <c r="A39">
        <v>38.0</v>
      </c>
      <c r="B39" t="s">
        <v>40</v>
      </c>
      <c r="C39" t="str">
        <f>0.2+0.02+0.02</f>
        <v>0.24</v>
      </c>
    </row>
    <row r="40" ht="15.75" customHeight="1">
      <c r="A40">
        <v>39.0</v>
      </c>
      <c r="B40" t="s">
        <v>41</v>
      </c>
      <c r="C40" t="str">
        <f>1300*9.81*0.2</f>
        <v>2550.6</v>
      </c>
    </row>
    <row r="41" ht="15.75" customHeight="1">
      <c r="A41">
        <v>40.0</v>
      </c>
      <c r="B41" t="s">
        <v>42</v>
      </c>
      <c r="C41" t="str">
        <f>(1300*9.81*0.2)*(PI()/4*0.1^2)</f>
        <v>20.03236556</v>
      </c>
    </row>
    <row r="42" ht="15.75" customHeight="1">
      <c r="A42">
        <v>41.0</v>
      </c>
      <c r="B42" t="s">
        <v>43</v>
      </c>
      <c r="C42" t="str">
        <f>10/(2*PI()*((0.06/2+0.016/2)/2)^2*((0.06-0.016)/2))</f>
        <v>200396.5539</v>
      </c>
    </row>
    <row r="43" ht="15.75" customHeight="1">
      <c r="A43">
        <v>42.0</v>
      </c>
      <c r="B43" t="s">
        <v>44</v>
      </c>
      <c r="C43" t="str">
        <f>1000/(0.01/1)</f>
        <v>100000</v>
      </c>
    </row>
    <row r="44" ht="15.75" customHeight="1">
      <c r="A44">
        <v>43.0</v>
      </c>
      <c r="B44" t="s">
        <v>45</v>
      </c>
      <c r="C44" t="str">
        <f>2*PI()*2.5</f>
        <v>15.70796327</v>
      </c>
    </row>
    <row r="45" ht="15.75" customHeight="1">
      <c r="A45">
        <v>44.0</v>
      </c>
      <c r="B45" t="s">
        <v>46</v>
      </c>
      <c r="C45" t="str">
        <f>2.5*((0.06/2+0.016/2)/2)*TAN(RADIANS(30))</f>
        <v>0.02742413779</v>
      </c>
    </row>
    <row r="46" ht="15.75" customHeight="1">
      <c r="A46">
        <v>45.0</v>
      </c>
      <c r="B46" t="s">
        <v>47</v>
      </c>
      <c r="C46" t="str">
        <f>0.6+0.3+0.4+0.2+0.21</f>
        <v>1.71</v>
      </c>
    </row>
    <row r="47" ht="15.75" customHeight="1">
      <c r="A47">
        <v>46.0</v>
      </c>
      <c r="B47" t="s">
        <v>48</v>
      </c>
      <c r="C47" t="str">
        <f>60/(0.6+0.3+0.4+0.2+0.21)</f>
        <v>35.0877193</v>
      </c>
    </row>
    <row r="48" ht="15.75" customHeight="1">
      <c r="A48">
        <v>47.0</v>
      </c>
      <c r="B48" t="s">
        <v>49</v>
      </c>
      <c r="C48" t="str">
        <f>1/(1300*0.6*PI()/4*(0.06^2-0.016^2)*0.06*4.5)</f>
        <v>1.807946118</v>
      </c>
    </row>
    <row r="49" ht="15.75" customHeight="1">
      <c r="A49">
        <v>48.0</v>
      </c>
      <c r="B49" t="s">
        <v>50</v>
      </c>
      <c r="C49" t="str">
        <f>1/(0.6*PI()/4*(0.06^2-0.016^2)*0.06*4.5)</f>
        <v>2350.329953</v>
      </c>
    </row>
    <row r="50" ht="15.75" customHeight="1">
      <c r="A50">
        <v>49.0</v>
      </c>
      <c r="B50" t="s">
        <v>51</v>
      </c>
      <c r="C50" t="str">
        <f>1/(1300*PI()/4*(0.06^2-0.016^2)*0.06*4.5)</f>
        <v>1.084767671</v>
      </c>
    </row>
    <row r="51" ht="15.75" customHeight="1">
      <c r="A51">
        <v>50.0</v>
      </c>
      <c r="B51" t="s">
        <v>52</v>
      </c>
      <c r="C51" t="str">
        <f>8*(1/1)</f>
        <v>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2026-02-07T05:59:29Z</dcterms:created>
  <dc:creator>openpyxl</dc:creator>
  <dcterms:modified xsi:type="dcterms:W3CDTF">2026-02-07T05:59:29Z</dcterms:modified>
</cp:coreProperties>
</file>