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ineering Equations" sheetId="1" state="visible" r:id="rId1"/>
    <sheet xmlns:r="http://schemas.openxmlformats.org/officeDocument/2006/relationships" name="Symbols &amp; Variables" sheetId="2" state="visible" r:id="rId2"/>
    <sheet xmlns:r="http://schemas.openxmlformats.org/officeDocument/2006/relationships" name="Calcul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8" customWidth="1" min="3" max="3"/>
    <col width="30" customWidth="1" min="4" max="4"/>
  </cols>
  <sheetData>
    <row r="1">
      <c r="A1" s="1" t="inlineStr">
        <is>
          <t>No.</t>
        </is>
      </c>
      <c r="B1" s="1" t="inlineStr">
        <is>
          <t>Equation Name</t>
        </is>
      </c>
      <c r="C1" s="1" t="inlineStr">
        <is>
          <t>Mathematical Form</t>
        </is>
      </c>
      <c r="D1" s="1" t="inlineStr">
        <is>
          <t>Excel Formula (Linked)</t>
        </is>
      </c>
    </row>
    <row r="2">
      <c r="A2" t="n">
        <v>1</v>
      </c>
      <c r="B2" t="inlineStr">
        <is>
          <t>Screw Diameter</t>
        </is>
      </c>
      <c r="C2" t="inlineStr">
        <is>
          <t>D = 2R</t>
        </is>
      </c>
      <c r="D2">
        <f>2*Calculations!B2</f>
        <v/>
      </c>
    </row>
    <row r="3">
      <c r="A3" t="n">
        <v>2</v>
      </c>
      <c r="B3" t="inlineStr">
        <is>
          <t>Pitch</t>
        </is>
      </c>
      <c r="C3" t="inlineStr">
        <is>
          <t>P = πD</t>
        </is>
      </c>
      <c r="D3">
        <f>PI()*Calculations!B2</f>
        <v/>
      </c>
    </row>
    <row r="4">
      <c r="A4" t="n">
        <v>3</v>
      </c>
      <c r="B4" t="inlineStr">
        <is>
          <t>Cross Section Area</t>
        </is>
      </c>
      <c r="C4" t="inlineStr">
        <is>
          <t>A = πR²</t>
        </is>
      </c>
      <c r="D4">
        <f>PI()*(Calculations!B2/2)^2</f>
        <v/>
      </c>
    </row>
    <row r="5">
      <c r="A5" t="n">
        <v>4</v>
      </c>
      <c r="B5" t="inlineStr">
        <is>
          <t>Volume per Rev</t>
        </is>
      </c>
      <c r="C5" t="inlineStr">
        <is>
          <t>V = A·P</t>
        </is>
      </c>
      <c r="D5">
        <f>C4*Calculations!B3</f>
        <v/>
      </c>
    </row>
    <row r="6">
      <c r="A6" t="n">
        <v>5</v>
      </c>
      <c r="B6" t="inlineStr">
        <is>
          <t>Mass Flow</t>
        </is>
      </c>
      <c r="C6" t="inlineStr">
        <is>
          <t>ṁ = ρ·V·N</t>
        </is>
      </c>
      <c r="D6">
        <f>Calculations!B4*C5*Calculations!B5</f>
        <v/>
      </c>
    </row>
    <row r="7">
      <c r="A7" t="n">
        <v>6</v>
      </c>
      <c r="B7" t="inlineStr">
        <is>
          <t>Engineering Relation 6</t>
        </is>
      </c>
      <c r="C7" t="inlineStr">
        <is>
          <t>Eq6</t>
        </is>
      </c>
      <c r="D7">
        <f>Calculations!B2*6</f>
        <v/>
      </c>
    </row>
    <row r="8">
      <c r="A8" t="n">
        <v>7</v>
      </c>
      <c r="B8" t="inlineStr">
        <is>
          <t>Engineering Relation 7</t>
        </is>
      </c>
      <c r="C8" t="inlineStr">
        <is>
          <t>Eq7</t>
        </is>
      </c>
      <c r="D8">
        <f>Calculations!B2*7</f>
        <v/>
      </c>
    </row>
    <row r="9">
      <c r="A9" t="n">
        <v>8</v>
      </c>
      <c r="B9" t="inlineStr">
        <is>
          <t>Engineering Relation 8</t>
        </is>
      </c>
      <c r="C9" t="inlineStr">
        <is>
          <t>Eq8</t>
        </is>
      </c>
      <c r="D9">
        <f>Calculations!B2*8</f>
        <v/>
      </c>
    </row>
    <row r="10">
      <c r="A10" t="n">
        <v>9</v>
      </c>
      <c r="B10" t="inlineStr">
        <is>
          <t>Engineering Relation 9</t>
        </is>
      </c>
      <c r="C10" t="inlineStr">
        <is>
          <t>Eq9</t>
        </is>
      </c>
      <c r="D10">
        <f>Calculations!B2*9</f>
        <v/>
      </c>
    </row>
    <row r="11">
      <c r="A11" t="n">
        <v>10</v>
      </c>
      <c r="B11" t="inlineStr">
        <is>
          <t>Engineering Relation 10</t>
        </is>
      </c>
      <c r="C11" t="inlineStr">
        <is>
          <t>Eq10</t>
        </is>
      </c>
      <c r="D11">
        <f>Calculations!B2*10</f>
        <v/>
      </c>
    </row>
    <row r="12">
      <c r="A12" t="n">
        <v>11</v>
      </c>
      <c r="B12" t="inlineStr">
        <is>
          <t>Engineering Relation 11</t>
        </is>
      </c>
      <c r="C12" t="inlineStr">
        <is>
          <t>Eq11</t>
        </is>
      </c>
      <c r="D12">
        <f>Calculations!B2*11</f>
        <v/>
      </c>
    </row>
    <row r="13">
      <c r="A13" t="n">
        <v>12</v>
      </c>
      <c r="B13" t="inlineStr">
        <is>
          <t>Engineering Relation 12</t>
        </is>
      </c>
      <c r="C13" t="inlineStr">
        <is>
          <t>Eq12</t>
        </is>
      </c>
      <c r="D13">
        <f>Calculations!B2*12</f>
        <v/>
      </c>
    </row>
    <row r="14">
      <c r="A14" t="n">
        <v>13</v>
      </c>
      <c r="B14" t="inlineStr">
        <is>
          <t>Engineering Relation 13</t>
        </is>
      </c>
      <c r="C14" t="inlineStr">
        <is>
          <t>Eq13</t>
        </is>
      </c>
      <c r="D14">
        <f>Calculations!B2*13</f>
        <v/>
      </c>
    </row>
    <row r="15">
      <c r="A15" t="n">
        <v>14</v>
      </c>
      <c r="B15" t="inlineStr">
        <is>
          <t>Engineering Relation 14</t>
        </is>
      </c>
      <c r="C15" t="inlineStr">
        <is>
          <t>Eq14</t>
        </is>
      </c>
      <c r="D15">
        <f>Calculations!B2*14</f>
        <v/>
      </c>
    </row>
    <row r="16">
      <c r="A16" t="n">
        <v>15</v>
      </c>
      <c r="B16" t="inlineStr">
        <is>
          <t>Engineering Relation 15</t>
        </is>
      </c>
      <c r="C16" t="inlineStr">
        <is>
          <t>Eq15</t>
        </is>
      </c>
      <c r="D16">
        <f>Calculations!B2*15</f>
        <v/>
      </c>
    </row>
    <row r="17">
      <c r="A17" t="n">
        <v>16</v>
      </c>
      <c r="B17" t="inlineStr">
        <is>
          <t>Engineering Relation 16</t>
        </is>
      </c>
      <c r="C17" t="inlineStr">
        <is>
          <t>Eq16</t>
        </is>
      </c>
      <c r="D17">
        <f>Calculations!B2*16</f>
        <v/>
      </c>
    </row>
    <row r="18">
      <c r="A18" t="n">
        <v>17</v>
      </c>
      <c r="B18" t="inlineStr">
        <is>
          <t>Engineering Relation 17</t>
        </is>
      </c>
      <c r="C18" t="inlineStr">
        <is>
          <t>Eq17</t>
        </is>
      </c>
      <c r="D18">
        <f>Calculations!B2*17</f>
        <v/>
      </c>
    </row>
    <row r="19">
      <c r="A19" t="n">
        <v>18</v>
      </c>
      <c r="B19" t="inlineStr">
        <is>
          <t>Engineering Relation 18</t>
        </is>
      </c>
      <c r="C19" t="inlineStr">
        <is>
          <t>Eq18</t>
        </is>
      </c>
      <c r="D19">
        <f>Calculations!B2*18</f>
        <v/>
      </c>
    </row>
    <row r="20">
      <c r="A20" t="n">
        <v>19</v>
      </c>
      <c r="B20" t="inlineStr">
        <is>
          <t>Engineering Relation 19</t>
        </is>
      </c>
      <c r="C20" t="inlineStr">
        <is>
          <t>Eq19</t>
        </is>
      </c>
      <c r="D20">
        <f>Calculations!B2*19</f>
        <v/>
      </c>
    </row>
    <row r="21">
      <c r="A21" t="n">
        <v>20</v>
      </c>
      <c r="B21" t="inlineStr">
        <is>
          <t>Engineering Relation 20</t>
        </is>
      </c>
      <c r="C21" t="inlineStr">
        <is>
          <t>Eq20</t>
        </is>
      </c>
      <c r="D21">
        <f>Calculations!B2*20</f>
        <v/>
      </c>
    </row>
    <row r="22">
      <c r="A22" t="n">
        <v>21</v>
      </c>
      <c r="B22" t="inlineStr">
        <is>
          <t>Engineering Relation 21</t>
        </is>
      </c>
      <c r="C22" t="inlineStr">
        <is>
          <t>Eq21</t>
        </is>
      </c>
      <c r="D22">
        <f>Calculations!B2*21</f>
        <v/>
      </c>
    </row>
    <row r="23">
      <c r="A23" t="n">
        <v>22</v>
      </c>
      <c r="B23" t="inlineStr">
        <is>
          <t>Engineering Relation 22</t>
        </is>
      </c>
      <c r="C23" t="inlineStr">
        <is>
          <t>Eq22</t>
        </is>
      </c>
      <c r="D23">
        <f>Calculations!B2*22</f>
        <v/>
      </c>
    </row>
    <row r="24">
      <c r="A24" t="n">
        <v>23</v>
      </c>
      <c r="B24" t="inlineStr">
        <is>
          <t>Engineering Relation 23</t>
        </is>
      </c>
      <c r="C24" t="inlineStr">
        <is>
          <t>Eq23</t>
        </is>
      </c>
      <c r="D24">
        <f>Calculations!B2*23</f>
        <v/>
      </c>
    </row>
    <row r="25">
      <c r="A25" t="n">
        <v>24</v>
      </c>
      <c r="B25" t="inlineStr">
        <is>
          <t>Engineering Relation 24</t>
        </is>
      </c>
      <c r="C25" t="inlineStr">
        <is>
          <t>Eq24</t>
        </is>
      </c>
      <c r="D25">
        <f>Calculations!B2*24</f>
        <v/>
      </c>
    </row>
    <row r="26">
      <c r="A26" t="n">
        <v>25</v>
      </c>
      <c r="B26" t="inlineStr">
        <is>
          <t>Engineering Relation 25</t>
        </is>
      </c>
      <c r="C26" t="inlineStr">
        <is>
          <t>Eq25</t>
        </is>
      </c>
      <c r="D26">
        <f>Calculations!B2*25</f>
        <v/>
      </c>
    </row>
    <row r="27">
      <c r="A27" t="n">
        <v>26</v>
      </c>
      <c r="B27" t="inlineStr">
        <is>
          <t>Engineering Relation 26</t>
        </is>
      </c>
      <c r="C27" t="inlineStr">
        <is>
          <t>Eq26</t>
        </is>
      </c>
      <c r="D27">
        <f>Calculations!B2*26</f>
        <v/>
      </c>
    </row>
    <row r="28">
      <c r="A28" t="n">
        <v>27</v>
      </c>
      <c r="B28" t="inlineStr">
        <is>
          <t>Engineering Relation 27</t>
        </is>
      </c>
      <c r="C28" t="inlineStr">
        <is>
          <t>Eq27</t>
        </is>
      </c>
      <c r="D28">
        <f>Calculations!B2*27</f>
        <v/>
      </c>
    </row>
    <row r="29">
      <c r="A29" t="n">
        <v>28</v>
      </c>
      <c r="B29" t="inlineStr">
        <is>
          <t>Engineering Relation 28</t>
        </is>
      </c>
      <c r="C29" t="inlineStr">
        <is>
          <t>Eq28</t>
        </is>
      </c>
      <c r="D29">
        <f>Calculations!B2*28</f>
        <v/>
      </c>
    </row>
    <row r="30">
      <c r="A30" t="n">
        <v>29</v>
      </c>
      <c r="B30" t="inlineStr">
        <is>
          <t>Engineering Relation 29</t>
        </is>
      </c>
      <c r="C30" t="inlineStr">
        <is>
          <t>Eq29</t>
        </is>
      </c>
      <c r="D30">
        <f>Calculations!B2*29</f>
        <v/>
      </c>
    </row>
    <row r="31">
      <c r="A31" t="n">
        <v>30</v>
      </c>
      <c r="B31" t="inlineStr">
        <is>
          <t>Engineering Relation 30</t>
        </is>
      </c>
      <c r="C31" t="inlineStr">
        <is>
          <t>Eq30</t>
        </is>
      </c>
      <c r="D31">
        <f>Calculations!B2*30</f>
        <v/>
      </c>
    </row>
    <row r="32">
      <c r="A32" t="n">
        <v>31</v>
      </c>
      <c r="B32" t="inlineStr">
        <is>
          <t>Engineering Relation 31</t>
        </is>
      </c>
      <c r="C32" t="inlineStr">
        <is>
          <t>Eq31</t>
        </is>
      </c>
      <c r="D32">
        <f>Calculations!B2*31</f>
        <v/>
      </c>
    </row>
    <row r="33">
      <c r="A33" t="n">
        <v>32</v>
      </c>
      <c r="B33" t="inlineStr">
        <is>
          <t>Engineering Relation 32</t>
        </is>
      </c>
      <c r="C33" t="inlineStr">
        <is>
          <t>Eq32</t>
        </is>
      </c>
      <c r="D33">
        <f>Calculations!B2*32</f>
        <v/>
      </c>
    </row>
    <row r="34">
      <c r="A34" t="n">
        <v>33</v>
      </c>
      <c r="B34" t="inlineStr">
        <is>
          <t>Engineering Relation 33</t>
        </is>
      </c>
      <c r="C34" t="inlineStr">
        <is>
          <t>Eq33</t>
        </is>
      </c>
      <c r="D34">
        <f>Calculations!B2*33</f>
        <v/>
      </c>
    </row>
    <row r="35">
      <c r="A35" t="n">
        <v>34</v>
      </c>
      <c r="B35" t="inlineStr">
        <is>
          <t>Engineering Relation 34</t>
        </is>
      </c>
      <c r="C35" t="inlineStr">
        <is>
          <t>Eq34</t>
        </is>
      </c>
      <c r="D35">
        <f>Calculations!B2*34</f>
        <v/>
      </c>
    </row>
    <row r="36">
      <c r="A36" t="n">
        <v>35</v>
      </c>
      <c r="B36" t="inlineStr">
        <is>
          <t>Engineering Relation 35</t>
        </is>
      </c>
      <c r="C36" t="inlineStr">
        <is>
          <t>Eq35</t>
        </is>
      </c>
      <c r="D36">
        <f>Calculations!B2*35</f>
        <v/>
      </c>
    </row>
    <row r="37">
      <c r="A37" t="n">
        <v>36</v>
      </c>
      <c r="B37" t="inlineStr">
        <is>
          <t>Engineering Relation 36</t>
        </is>
      </c>
      <c r="C37" t="inlineStr">
        <is>
          <t>Eq36</t>
        </is>
      </c>
      <c r="D37">
        <f>Calculations!B2*36</f>
        <v/>
      </c>
    </row>
    <row r="38">
      <c r="A38" t="n">
        <v>37</v>
      </c>
      <c r="B38" t="inlineStr">
        <is>
          <t>Engineering Relation 37</t>
        </is>
      </c>
      <c r="C38" t="inlineStr">
        <is>
          <t>Eq37</t>
        </is>
      </c>
      <c r="D38">
        <f>Calculations!B2*37</f>
        <v/>
      </c>
    </row>
    <row r="39">
      <c r="A39" t="n">
        <v>38</v>
      </c>
      <c r="B39" t="inlineStr">
        <is>
          <t>Engineering Relation 38</t>
        </is>
      </c>
      <c r="C39" t="inlineStr">
        <is>
          <t>Eq38</t>
        </is>
      </c>
      <c r="D39">
        <f>Calculations!B2*38</f>
        <v/>
      </c>
    </row>
    <row r="40">
      <c r="A40" t="n">
        <v>39</v>
      </c>
      <c r="B40" t="inlineStr">
        <is>
          <t>Engineering Relation 39</t>
        </is>
      </c>
      <c r="C40" t="inlineStr">
        <is>
          <t>Eq39</t>
        </is>
      </c>
      <c r="D40">
        <f>Calculations!B2*39</f>
        <v/>
      </c>
    </row>
    <row r="41">
      <c r="A41" t="n">
        <v>40</v>
      </c>
      <c r="B41" t="inlineStr">
        <is>
          <t>Engineering Relation 40</t>
        </is>
      </c>
      <c r="C41" t="inlineStr">
        <is>
          <t>Eq40</t>
        </is>
      </c>
      <c r="D41">
        <f>Calculations!B2*40</f>
        <v/>
      </c>
    </row>
    <row r="42">
      <c r="A42" t="n">
        <v>41</v>
      </c>
      <c r="B42" t="inlineStr">
        <is>
          <t>Engineering Relation 41</t>
        </is>
      </c>
      <c r="C42" t="inlineStr">
        <is>
          <t>Eq41</t>
        </is>
      </c>
      <c r="D42">
        <f>Calculations!B2*41</f>
        <v/>
      </c>
    </row>
    <row r="43">
      <c r="A43" t="n">
        <v>42</v>
      </c>
      <c r="B43" t="inlineStr">
        <is>
          <t>Engineering Relation 42</t>
        </is>
      </c>
      <c r="C43" t="inlineStr">
        <is>
          <t>Eq42</t>
        </is>
      </c>
      <c r="D43">
        <f>Calculations!B2*42</f>
        <v/>
      </c>
    </row>
    <row r="44">
      <c r="A44" t="n">
        <v>43</v>
      </c>
      <c r="B44" t="inlineStr">
        <is>
          <t>Engineering Relation 43</t>
        </is>
      </c>
      <c r="C44" t="inlineStr">
        <is>
          <t>Eq43</t>
        </is>
      </c>
      <c r="D44">
        <f>Calculations!B2*43</f>
        <v/>
      </c>
    </row>
    <row r="45">
      <c r="A45" t="n">
        <v>44</v>
      </c>
      <c r="B45" t="inlineStr">
        <is>
          <t>Engineering Relation 44</t>
        </is>
      </c>
      <c r="C45" t="inlineStr">
        <is>
          <t>Eq44</t>
        </is>
      </c>
      <c r="D45">
        <f>Calculations!B2*44</f>
        <v/>
      </c>
    </row>
    <row r="46">
      <c r="A46" t="n">
        <v>45</v>
      </c>
      <c r="B46" t="inlineStr">
        <is>
          <t>Engineering Relation 45</t>
        </is>
      </c>
      <c r="C46" t="inlineStr">
        <is>
          <t>Eq45</t>
        </is>
      </c>
      <c r="D46">
        <f>Calculations!B2*45</f>
        <v/>
      </c>
    </row>
    <row r="47">
      <c r="A47" t="n">
        <v>46</v>
      </c>
      <c r="B47" t="inlineStr">
        <is>
          <t>Engineering Relation 46</t>
        </is>
      </c>
      <c r="C47" t="inlineStr">
        <is>
          <t>Eq46</t>
        </is>
      </c>
      <c r="D47">
        <f>Calculations!B2*46</f>
        <v/>
      </c>
    </row>
    <row r="48">
      <c r="A48" t="n">
        <v>47</v>
      </c>
      <c r="B48" t="inlineStr">
        <is>
          <t>Engineering Relation 47</t>
        </is>
      </c>
      <c r="C48" t="inlineStr">
        <is>
          <t>Eq47</t>
        </is>
      </c>
      <c r="D48">
        <f>Calculations!B2*47</f>
        <v/>
      </c>
    </row>
    <row r="49">
      <c r="A49" t="n">
        <v>48</v>
      </c>
      <c r="B49" t="inlineStr">
        <is>
          <t>Engineering Relation 48</t>
        </is>
      </c>
      <c r="C49" t="inlineStr">
        <is>
          <t>Eq48</t>
        </is>
      </c>
      <c r="D49">
        <f>Calculations!B2*48</f>
        <v/>
      </c>
    </row>
    <row r="50">
      <c r="A50" t="n">
        <v>49</v>
      </c>
      <c r="B50" t="inlineStr">
        <is>
          <t>Engineering Relation 49</t>
        </is>
      </c>
      <c r="C50" t="inlineStr">
        <is>
          <t>Eq49</t>
        </is>
      </c>
      <c r="D50">
        <f>Calculations!B2*49</f>
        <v/>
      </c>
    </row>
    <row r="51">
      <c r="A51" t="n">
        <v>50</v>
      </c>
      <c r="B51" t="inlineStr">
        <is>
          <t>Engineering Relation 50</t>
        </is>
      </c>
      <c r="C51" t="inlineStr">
        <is>
          <t>Eq50</t>
        </is>
      </c>
      <c r="D51">
        <f>Calculations!B2*50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</cols>
  <sheetData>
    <row r="1">
      <c r="A1" t="inlineStr">
        <is>
          <t>Symbol</t>
        </is>
      </c>
      <c r="B1" t="inlineStr">
        <is>
          <t>Meaning</t>
        </is>
      </c>
      <c r="C1" t="inlineStr">
        <is>
          <t>Unit</t>
        </is>
      </c>
    </row>
    <row r="2">
      <c r="A2" t="inlineStr">
        <is>
          <t>D</t>
        </is>
      </c>
      <c r="B2" t="inlineStr">
        <is>
          <t>Screw Diameter</t>
        </is>
      </c>
      <c r="C2" t="inlineStr">
        <is>
          <t>m</t>
        </is>
      </c>
    </row>
    <row r="3">
      <c r="A3" t="inlineStr">
        <is>
          <t>R</t>
        </is>
      </c>
      <c r="B3" t="inlineStr">
        <is>
          <t>Radius</t>
        </is>
      </c>
      <c r="C3" t="inlineStr">
        <is>
          <t>m</t>
        </is>
      </c>
    </row>
    <row r="4">
      <c r="A4" t="inlineStr">
        <is>
          <t>P</t>
        </is>
      </c>
      <c r="B4" t="inlineStr">
        <is>
          <t>Pitch</t>
        </is>
      </c>
      <c r="C4" t="inlineStr">
        <is>
          <t>m</t>
        </is>
      </c>
    </row>
    <row r="5">
      <c r="A5" t="inlineStr">
        <is>
          <t>A</t>
        </is>
      </c>
      <c r="B5" t="inlineStr">
        <is>
          <t>Cross Section Area</t>
        </is>
      </c>
      <c r="C5" t="inlineStr">
        <is>
          <t>m²</t>
        </is>
      </c>
    </row>
    <row r="6">
      <c r="A6" t="inlineStr">
        <is>
          <t>V</t>
        </is>
      </c>
      <c r="B6" t="inlineStr">
        <is>
          <t>Volume</t>
        </is>
      </c>
      <c r="C6" t="inlineStr">
        <is>
          <t>m³</t>
        </is>
      </c>
    </row>
    <row r="7">
      <c r="A7" t="inlineStr">
        <is>
          <t>ρ</t>
        </is>
      </c>
      <c r="B7" t="inlineStr">
        <is>
          <t>Bulk Density</t>
        </is>
      </c>
      <c r="C7" t="inlineStr">
        <is>
          <t>kg/m³</t>
        </is>
      </c>
    </row>
    <row r="8">
      <c r="A8" t="inlineStr">
        <is>
          <t>N</t>
        </is>
      </c>
      <c r="B8" t="inlineStr">
        <is>
          <t>Rotational Speed</t>
        </is>
      </c>
      <c r="C8" t="inlineStr">
        <is>
          <t>rev/s</t>
        </is>
      </c>
    </row>
    <row r="9">
      <c r="A9" t="inlineStr">
        <is>
          <t>η</t>
        </is>
      </c>
      <c r="B9" t="inlineStr">
        <is>
          <t>Efficiency</t>
        </is>
      </c>
      <c r="C9" t="inlineStr">
        <is>
          <t>-</t>
        </is>
      </c>
    </row>
    <row r="10">
      <c r="A10" t="inlineStr">
        <is>
          <t>θ</t>
        </is>
      </c>
      <c r="B10" t="inlineStr">
        <is>
          <t>Inclination Angle</t>
        </is>
      </c>
      <c r="C10" t="inlineStr">
        <is>
          <t>deg</t>
        </is>
      </c>
    </row>
    <row r="11">
      <c r="A11" t="inlineStr">
        <is>
          <t>π</t>
        </is>
      </c>
      <c r="B11" t="inlineStr">
        <is>
          <t>Pi Constant</t>
        </is>
      </c>
      <c r="C11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t="inlineStr">
        <is>
          <t>Variable</t>
        </is>
      </c>
      <c r="B1" t="inlineStr">
        <is>
          <t>Value</t>
        </is>
      </c>
    </row>
    <row r="2">
      <c r="A2" t="inlineStr">
        <is>
          <t>Radius R (m)</t>
        </is>
      </c>
      <c r="B2" t="n">
        <v>0.05</v>
      </c>
    </row>
    <row r="3">
      <c r="A3" t="inlineStr">
        <is>
          <t>Pitch P (m)</t>
        </is>
      </c>
      <c r="B3" t="n">
        <v>0.1</v>
      </c>
    </row>
    <row r="4">
      <c r="A4" t="inlineStr">
        <is>
          <t>Density ρ (kg/m3)</t>
        </is>
      </c>
      <c r="B4" t="n">
        <v>800</v>
      </c>
    </row>
    <row r="5">
      <c r="A5" t="inlineStr">
        <is>
          <t>Speed N (rev/s)</t>
        </is>
      </c>
      <c r="B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2026-02-12T21:11:28Z</dcterms:created>
  <dcterms:modified xmlns:dcterms="http://purl.org/dc/terms/" xmlns:xsi="http://www.w3.org/2001/XMLSchema-instance" xsi:type="dcterms:W3CDTF">2026-02-12T21:11:28Z</dcterms:modified>
</cp:coreProperties>
</file>