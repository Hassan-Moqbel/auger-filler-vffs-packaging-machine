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er Screw Dimensions" sheetId="1" r:id="rId4"/>
    <sheet state="visible" name="Forces Equations" sheetId="2" r:id="rId5"/>
    <sheet state="visible" name="Forces Equations parameters " sheetId="3" r:id="rId6"/>
    <sheet state="visible" name="Volume parameters driven " sheetId="4" r:id="rId7"/>
    <sheet state="visible" name="Volumetric Calculation Equation" sheetId="5" r:id="rId8"/>
    <sheet state="visible" name="Torque Calculations" sheetId="6" r:id="rId9"/>
  </sheets>
  <definedNames/>
  <calcPr/>
</workbook>
</file>

<file path=xl/sharedStrings.xml><?xml version="1.0" encoding="utf-8"?>
<sst xmlns="http://schemas.openxmlformats.org/spreadsheetml/2006/main" count="463" uniqueCount="386">
  <si>
    <t>Feature</t>
  </si>
  <si>
    <t>Description</t>
  </si>
  <si>
    <t>Value</t>
  </si>
  <si>
    <t>Unit</t>
  </si>
  <si>
    <t>Notes</t>
  </si>
  <si>
    <t>Overall Length</t>
  </si>
  <si>
    <t>Total auger length</t>
  </si>
  <si>
    <t>mm</t>
  </si>
  <si>
    <t>Bottom tip to top smooth end</t>
  </si>
  <si>
    <t>Flighted Length</t>
  </si>
  <si>
    <t>Effective helical section</t>
  </si>
  <si>
    <t>Active dosing zone</t>
  </si>
  <si>
    <t>Number of Flights</t>
  </si>
  <si>
    <t>Total helical turns</t>
  </si>
  <si>
    <t>rev</t>
  </si>
  <si>
    <t>Single start</t>
  </si>
  <si>
    <t>Pitch</t>
  </si>
  <si>
    <t>Distance between flights</t>
  </si>
  <si>
    <t>Constant pitch</t>
  </si>
  <si>
    <t>Outer Diameter</t>
  </si>
  <si>
    <t>Maximum auger diameter</t>
  </si>
  <si>
    <t>Flight OD</t>
  </si>
  <si>
    <t>Core Shaft Diameter</t>
  </si>
  <si>
    <t>Shaft diameter under flight</t>
  </si>
  <si>
    <t>Main core</t>
  </si>
  <si>
    <t>Upper Smooth Shaft Length</t>
  </si>
  <si>
    <t>Non-flighted upper section</t>
  </si>
  <si>
    <t>Connection to auger shaft</t>
  </si>
  <si>
    <t>Lower Clearance Length</t>
  </si>
  <si>
    <t>End clearance before thread</t>
  </si>
  <si>
    <t>Between flight and thread</t>
  </si>
  <si>
    <t>Threaded Length</t>
  </si>
  <si>
    <t>Thread for rotary plate</t>
  </si>
  <si>
    <t>M14×1.5</t>
  </si>
  <si>
    <t>Thread Diameter</t>
  </si>
  <si>
    <t>Thread nominal diameter</t>
  </si>
  <si>
    <t>Metric fine</t>
  </si>
  <si>
    <t>Flight Thickness</t>
  </si>
  <si>
    <t>Helical ribbon thickness</t>
  </si>
  <si>
    <t>Axial thickness</t>
  </si>
  <si>
    <t>Radial Flight Height</t>
  </si>
  <si>
    <t>Flight radial height</t>
  </si>
  <si>
    <t>(OD–Core)/2</t>
  </si>
  <si>
    <t>Radial Clearance</t>
  </si>
  <si>
    <t>Clearance to tube wall</t>
  </si>
  <si>
    <t>1.0–1.5</t>
  </si>
  <si>
    <t>Avoid rubbing</t>
  </si>
  <si>
    <t>Chamfer</t>
  </si>
  <si>
    <t>Flight leading edge</t>
  </si>
  <si>
    <t>1×45°</t>
  </si>
  <si>
    <t>-</t>
  </si>
  <si>
    <t>Smooth flow</t>
  </si>
  <si>
    <t>Fillet Radius</t>
  </si>
  <si>
    <t>Flight to shaft root</t>
  </si>
  <si>
    <t>R1.5–R2.0</t>
  </si>
  <si>
    <t>Stress relief</t>
  </si>
  <si>
    <t>No.</t>
  </si>
  <si>
    <t>Force Type</t>
  </si>
  <si>
    <t>Equation</t>
  </si>
  <si>
    <t>Symbols Meaning</t>
  </si>
  <si>
    <t>Engineering Use</t>
  </si>
  <si>
    <t>Material Weight Force</t>
  </si>
  <si>
    <t>F_w = m · g</t>
  </si>
  <si>
    <t>m = mass (kg), g = 9.81 m/s²</t>
  </si>
  <si>
    <t>Gravity load of material</t>
  </si>
  <si>
    <t>Axial Force (Helix)</t>
  </si>
  <si>
    <t>F_ax = m · g · sin(α)</t>
  </si>
  <si>
    <t>α = helix angle</t>
  </si>
  <si>
    <t>Material conveying force</t>
  </si>
  <si>
    <t>Normal Force</t>
  </si>
  <si>
    <t>F_n = m · g · cos(α)</t>
  </si>
  <si>
    <t>—</t>
  </si>
  <si>
    <t>Used for friction</t>
  </si>
  <si>
    <t>Friction Force</t>
  </si>
  <si>
    <t>F_f = μ · F_n</t>
  </si>
  <si>
    <t>μ = friction coefficient</t>
  </si>
  <si>
    <t>Material resistance</t>
  </si>
  <si>
    <t>Axial Friction Force</t>
  </si>
  <si>
    <t>F_ax,f = μ · m · g · cos(α)</t>
  </si>
  <si>
    <t>Affects torque</t>
  </si>
  <si>
    <t>Bulk Pressure Force</t>
  </si>
  <si>
    <t>F_p = σ · A</t>
  </si>
  <si>
    <t>σ = bulk stress</t>
  </si>
  <si>
    <t>High fill cases</t>
  </si>
  <si>
    <t>Shear Force</t>
  </si>
  <si>
    <t>F_s = τ · A</t>
  </si>
  <si>
    <t>τ = shear stress</t>
  </si>
  <si>
    <t>Cohesion resistance</t>
  </si>
  <si>
    <t>Rotary Plate Load</t>
  </si>
  <si>
    <t>F_plate = (m_p + m_m) · g</t>
  </si>
  <si>
    <t>plate + material mass</t>
  </si>
  <si>
    <t>Load on auger</t>
  </si>
  <si>
    <t>Radial Force</t>
  </si>
  <si>
    <t>F_r = F_n · sin(α)</t>
  </si>
  <si>
    <t>Bending analysis</t>
  </si>
  <si>
    <t>Inertial Force</t>
  </si>
  <si>
    <t>F_i = m · a</t>
  </si>
  <si>
    <t>a = acceleration</t>
  </si>
  <si>
    <t>Startup condition</t>
  </si>
  <si>
    <t>Centrifugal Force</t>
  </si>
  <si>
    <t>F_c = m · ω² · r</t>
  </si>
  <si>
    <t>ω = angular speed</t>
  </si>
  <si>
    <t>Rotating elements</t>
  </si>
  <si>
    <t>Shaft Tangential Force</t>
  </si>
  <si>
    <t>F_t = T / r</t>
  </si>
  <si>
    <t>T = torque</t>
  </si>
  <si>
    <t>Shaft stress</t>
  </si>
  <si>
    <t>Key Shear Force</t>
  </si>
  <si>
    <t>F_key = T / r_key</t>
  </si>
  <si>
    <t>r_key = key radius</t>
  </si>
  <si>
    <t>Key safety</t>
  </si>
  <si>
    <t>Cross Pin Force</t>
  </si>
  <si>
    <t>F_pin = T / r_pin</t>
  </si>
  <si>
    <t>r_pin = pin radius</t>
  </si>
  <si>
    <t>Pin safety</t>
  </si>
  <si>
    <t>Equivalent Static Force</t>
  </si>
  <si>
    <t>F_eq = T / r_m</t>
  </si>
  <si>
    <t>r_m = mean radius</t>
  </si>
  <si>
    <t>FEA loading</t>
  </si>
  <si>
    <t>Symbolic Form</t>
  </si>
  <si>
    <t>Input Parameters</t>
  </si>
  <si>
    <t>Calculated Result (Auto)</t>
  </si>
  <si>
    <t>Units</t>
  </si>
  <si>
    <t>Parameters</t>
  </si>
  <si>
    <t>Mass (kg)</t>
  </si>
  <si>
    <t>Gravity (m/s^2)</t>
  </si>
  <si>
    <t>Friction Coefficient (μ)</t>
  </si>
  <si>
    <t>Radius (m)</t>
  </si>
  <si>
    <t>Angular Speed (rad/s)</t>
  </si>
  <si>
    <t>Weight Force</t>
  </si>
  <si>
    <t>F = m*g</t>
  </si>
  <si>
    <t>m, g</t>
  </si>
  <si>
    <t>N</t>
  </si>
  <si>
    <t>Gravitational force of material</t>
  </si>
  <si>
    <t>F = μ*m*g</t>
  </si>
  <si>
    <t>μ, m, g</t>
  </si>
  <si>
    <t>Axial resistance</t>
  </si>
  <si>
    <t>Torque from Weight</t>
  </si>
  <si>
    <t>T = F*r</t>
  </si>
  <si>
    <t>m, g, r</t>
  </si>
  <si>
    <t>N·m</t>
  </si>
  <si>
    <t>Torque due to mass</t>
  </si>
  <si>
    <t>F = m*r*ω²</t>
  </si>
  <si>
    <t>m, r, ω</t>
  </si>
  <si>
    <t>Rotational force</t>
  </si>
  <si>
    <t>Parameter / Equation</t>
  </si>
  <si>
    <t>Symbol</t>
  </si>
  <si>
    <t>Formula (Excel-driven)</t>
  </si>
  <si>
    <t>D</t>
  </si>
  <si>
    <t>m</t>
  </si>
  <si>
    <t>Auger outer diameter</t>
  </si>
  <si>
    <t>Shaft Diameter</t>
  </si>
  <si>
    <t>Ds</t>
  </si>
  <si>
    <t>Auger shaft diameter</t>
  </si>
  <si>
    <t>p</t>
  </si>
  <si>
    <t>Auger pitch</t>
  </si>
  <si>
    <t>Number of Turns</t>
  </si>
  <si>
    <t>n</t>
  </si>
  <si>
    <t>Effective auger turns</t>
  </si>
  <si>
    <t>Fill Efficiency</t>
  </si>
  <si>
    <t>ηv</t>
  </si>
  <si>
    <t>Volumetric fill efficiency</t>
  </si>
  <si>
    <t>Bulk Density</t>
  </si>
  <si>
    <t>ρb</t>
  </si>
  <si>
    <t>kg/m³</t>
  </si>
  <si>
    <t>Bulk density of salt</t>
  </si>
  <si>
    <t>Cross-sectional Area</t>
  </si>
  <si>
    <t>A</t>
  </si>
  <si>
    <t>m²</t>
  </si>
  <si>
    <t>Annular cross-sectional area</t>
  </si>
  <si>
    <t>Volume per Pitch</t>
  </si>
  <si>
    <t>Vp</t>
  </si>
  <si>
    <t>m³</t>
  </si>
  <si>
    <t>Volume conveyed per pitch</t>
  </si>
  <si>
    <t>Effective Volume per Pitch</t>
  </si>
  <si>
    <t>Veff</t>
  </si>
  <si>
    <t>Effective volume considering fill efficiency</t>
  </si>
  <si>
    <t>Total Volume</t>
  </si>
  <si>
    <t>Vt</t>
  </si>
  <si>
    <t>Total conveyed volume</t>
  </si>
  <si>
    <t>Mass per Dose</t>
  </si>
  <si>
    <t>kg</t>
  </si>
  <si>
    <t>Mass delivered per dose</t>
  </si>
  <si>
    <t>Calculation Item</t>
  </si>
  <si>
    <t>Description (Arabic / English)</t>
  </si>
  <si>
    <t>Symbols</t>
  </si>
  <si>
    <t>Engineering Notes</t>
  </si>
  <si>
    <t>Explanation of the equation and its use</t>
  </si>
  <si>
    <t>Annular Area</t>
  </si>
  <si>
    <t>A = π/4 (D² − Ds²)</t>
  </si>
  <si>
    <t>مساحة المقطع الحلقي / Effective annular area</t>
  </si>
  <si>
    <t>D: Outer diameter | D_s: Shaft diameter</t>
  </si>
  <si>
    <t>Base volumetric area | أساس كل الحسابات الحجمية</t>
  </si>
  <si>
    <t>حساب المساحة الفعالة التي تشغلها المادة بين الريشة والعمود</t>
  </si>
  <si>
    <t>Volume per Revolution</t>
  </si>
  <si>
    <t>V_rev = A · p</t>
  </si>
  <si>
    <t>الحجم لكل لفة / Volume per revolution</t>
  </si>
  <si>
    <t>A: Annular area | p: Pitch</t>
  </si>
  <si>
    <t>Ideal filling | يفترض امتلاءً كاملًا</t>
  </si>
  <si>
    <t>حجم المادة النظرية المنقولة في لفة واحدة</t>
  </si>
  <si>
    <t>Effective Volume</t>
  </si>
  <si>
    <t>V_eff = η_v · V_rev</t>
  </si>
  <si>
    <t>الحجم الفعلي / Effective volume</t>
  </si>
  <si>
    <t>η_v: Volumetric efficiency</t>
  </si>
  <si>
    <t>Includes voids | يأخذ الفراغات بعين الاعتبار</t>
  </si>
  <si>
    <t>تعديل الحجم النظري حسب كفاءة التعبئة</t>
  </si>
  <si>
    <t>Total Auger Volume</t>
  </si>
  <si>
    <t>V_total = V_eff · n</t>
  </si>
  <si>
    <t>الحجم الكلي / Total volume</t>
  </si>
  <si>
    <t>n: Number of turns</t>
  </si>
  <si>
    <t>Dose basis | يستخدم في حساب الجرعة</t>
  </si>
  <si>
    <t>الحجم الذي يحتويه اللولب عبر جميع اللفات</t>
  </si>
  <si>
    <t>Volumetric Flow Rate</t>
  </si>
  <si>
    <t>Q_v = V_eff · N</t>
  </si>
  <si>
    <t>معدل التدفق الحجمي / Flow rate</t>
  </si>
  <si>
    <t>N: rev/s</t>
  </si>
  <si>
    <t>Speed dependent | مرتبط بسرعة الدوران</t>
  </si>
  <si>
    <t>حجم المادة المنقولة في وحدة الزمن</t>
  </si>
  <si>
    <t>Mass per Revolution</t>
  </si>
  <si>
    <t>m_rev = ρ_b · V_eff</t>
  </si>
  <si>
    <t>كتلة لكل لفة / Mass per rev</t>
  </si>
  <si>
    <t>ρ_b: Bulk density</t>
  </si>
  <si>
    <t>Torque input | مهم للتعبئة الوزنية</t>
  </si>
  <si>
    <t>تحويل الحجم إلى كتلة باستخدام الكثافة الظاهرية</t>
  </si>
  <si>
    <t>Mass Flow Rate</t>
  </si>
  <si>
    <t>ṁ = ρ_b · Q_v</t>
  </si>
  <si>
    <t>معدل التدفق الكتلي / Mass flow</t>
  </si>
  <si>
    <t>ρ_b</t>
  </si>
  <si>
    <t>Fill time | يستخدم لضبط زمن التعبئة</t>
  </si>
  <si>
    <t>معدل الكتلة المعبأة في الزمن</t>
  </si>
  <si>
    <t>Fill Time</t>
  </si>
  <si>
    <t>t = m_dose / ṁ</t>
  </si>
  <si>
    <t>زمن التعبئة / Fill time</t>
  </si>
  <si>
    <t>m_dose: Target mass</t>
  </si>
  <si>
    <t>Control timing | أساس التحكم في السيرفو</t>
  </si>
  <si>
    <t>الزمن اللازم لتعبئة كتلة محددة</t>
  </si>
  <si>
    <t>Revolutions per Dose</t>
  </si>
  <si>
    <t>N_dose = m_dose / m_rev</t>
  </si>
  <si>
    <t>عدد اللفات / Required turns</t>
  </si>
  <si>
    <t>Position control | يستخدم في التحكم الموضعي</t>
  </si>
  <si>
    <t>عدد لفات اللولب لتعبئة الجرعة</t>
  </si>
  <si>
    <t>Rotation Angle</t>
  </si>
  <si>
    <t>θ = 360 · N_dose</t>
  </si>
  <si>
    <t>زاوية الدوران / Rotation angle</t>
  </si>
  <si>
    <t>θ</t>
  </si>
  <si>
    <t>Servo command | مهمة في Position Control</t>
  </si>
  <si>
    <t xml:space="preserve">زاوية الدوران المطلوبة لكل تعبئة </t>
  </si>
  <si>
    <t>Held Volume</t>
  </si>
  <si>
    <t>V_hold = A · L_f · η_v</t>
  </si>
  <si>
    <t>حجم المادة داخل اللولب / Held volume</t>
  </si>
  <si>
    <t>L_f: Flighted length</t>
  </si>
  <si>
    <t>Axial load | للتأكد من عدم الانقطاع</t>
  </si>
  <si>
    <t xml:space="preserve">حجم المادة داخل الجزء الحلزوني </t>
  </si>
  <si>
    <t>Held Mass</t>
  </si>
  <si>
    <t>m_hold = ρ_b · V_hold</t>
  </si>
  <si>
    <t>كتلة داخل اللولب / Held mass</t>
  </si>
  <si>
    <t>Axial force | تدخل في حساب العزم</t>
  </si>
  <si>
    <t xml:space="preserve">كتلة المادة الموجودة داخل اللولب </t>
  </si>
  <si>
    <t>Disc Volume</t>
  </si>
  <si>
    <t>V_disc = A_disc · h</t>
  </si>
  <si>
    <t>حجم المادة فوق الصحن / Disc volume</t>
  </si>
  <si>
    <t>A_disc: Disc area</t>
  </si>
  <si>
    <t>Disc load | لتحليل الأحمال</t>
  </si>
  <si>
    <t xml:space="preserve">حجم المادة المحمولة على الصحن </t>
  </si>
  <si>
    <t>Disc Mass</t>
  </si>
  <si>
    <t>m_disc = ρ_b · V_disc</t>
  </si>
  <si>
    <t>كتلة المادة فوق الصحن / Disc mass</t>
  </si>
  <si>
    <t>Axial load | تؤثر على العزم المحوري</t>
  </si>
  <si>
    <t xml:space="preserve">وزن المادة المؤثرة على الصحن </t>
  </si>
  <si>
    <t>F = m · g</t>
  </si>
  <si>
    <t>قوة الوزن / Weight force</t>
  </si>
  <si>
    <t>g: 9.81 m/s²</t>
  </si>
  <si>
    <t>Static load  | تستخدم في التحليل الإنشائي</t>
  </si>
  <si>
    <t>القوة العمودية الناتجة عن المادة</t>
  </si>
  <si>
    <t>Item</t>
  </si>
  <si>
    <t>Symbol / Equation</t>
  </si>
  <si>
    <t>Numerical Substitution</t>
  </si>
  <si>
    <t>Result</t>
  </si>
  <si>
    <t>Engineering Note</t>
  </si>
  <si>
    <t>Filled Mass</t>
  </si>
  <si>
    <t>0.5</t>
  </si>
  <si>
    <t>Target fill weight</t>
  </si>
  <si>
    <t>Gravity Acceleration</t>
  </si>
  <si>
    <t>g</t>
  </si>
  <si>
    <t>9.81</t>
  </si>
  <si>
    <t>m/s²</t>
  </si>
  <si>
    <t>Physical constant</t>
  </si>
  <si>
    <t>Material Weight</t>
  </si>
  <si>
    <t>W = m·g</t>
  </si>
  <si>
    <t>0.5×9.81</t>
  </si>
  <si>
    <t>4.905</t>
  </si>
  <si>
    <t>Weight force</t>
  </si>
  <si>
    <t>Outer Radius</t>
  </si>
  <si>
    <t>r_o</t>
  </si>
  <si>
    <t>60/2</t>
  </si>
  <si>
    <t>0.030</t>
  </si>
  <si>
    <t>Auger outer radius</t>
  </si>
  <si>
    <t>Inner Radius</t>
  </si>
  <si>
    <t>r_i</t>
  </si>
  <si>
    <t>16/2</t>
  </si>
  <si>
    <t>0.008</t>
  </si>
  <si>
    <t>Shaft radius</t>
  </si>
  <si>
    <t>Mean Radius</t>
  </si>
  <si>
    <t>r_m=(r_o+r_i)/2</t>
  </si>
  <si>
    <t>(0.03+0.008)/2</t>
  </si>
  <si>
    <t>0.019</t>
  </si>
  <si>
    <t>Force application radius</t>
  </si>
  <si>
    <t>Torque due to Weight</t>
  </si>
  <si>
    <t>T_weight=W·r_m</t>
  </si>
  <si>
    <t>4.905×0.019</t>
  </si>
  <si>
    <t>0.093</t>
  </si>
  <si>
    <t>Basic conveying torque</t>
  </si>
  <si>
    <t>Friction Coefficient</t>
  </si>
  <si>
    <t>μ</t>
  </si>
  <si>
    <t>0.30</t>
  </si>
  <si>
    <t>Fine salt</t>
  </si>
  <si>
    <t>F_f=μ·W</t>
  </si>
  <si>
    <t>0.3×4.905</t>
  </si>
  <si>
    <t>1.47</t>
  </si>
  <si>
    <t>Friction Torque</t>
  </si>
  <si>
    <t>T_f=F_f·r_m</t>
  </si>
  <si>
    <t>1.47×0.019</t>
  </si>
  <si>
    <t>0.028</t>
  </si>
  <si>
    <t>Internal friction torque</t>
  </si>
  <si>
    <t>Wall Friction Torque</t>
  </si>
  <si>
    <t>T_wall</t>
  </si>
  <si>
    <t>Conservative</t>
  </si>
  <si>
    <t>0.010</t>
  </si>
  <si>
    <t>Flight-wall contact</t>
  </si>
  <si>
    <t>Bearing Friction Torque</t>
  </si>
  <si>
    <t>T_bearing</t>
  </si>
  <si>
    <t>Estimate</t>
  </si>
  <si>
    <t>0.0002</t>
  </si>
  <si>
    <t>Bearing losses</t>
  </si>
  <si>
    <t>Inertia Torque</t>
  </si>
  <si>
    <t>T_inertia</t>
  </si>
  <si>
    <t>Startup estimate</t>
  </si>
  <si>
    <t>0.020</t>
  </si>
  <si>
    <t>During acceleration</t>
  </si>
  <si>
    <t>Total Raw Torque</t>
  </si>
  <si>
    <t>ΣT</t>
  </si>
  <si>
    <t>Sum(7→13)</t>
  </si>
  <si>
    <t>0.151</t>
  </si>
  <si>
    <t>Without safety factor</t>
  </si>
  <si>
    <t>Safety Factor</t>
  </si>
  <si>
    <t>SF</t>
  </si>
  <si>
    <t>2.5</t>
  </si>
  <si>
    <t>Industrial practice</t>
  </si>
  <si>
    <t>Design Torque</t>
  </si>
  <si>
    <t>T_design=SF·ΣT</t>
  </si>
  <si>
    <t>2.5×0.151</t>
  </si>
  <si>
    <t>0.378</t>
  </si>
  <si>
    <t>Required on auger</t>
  </si>
  <si>
    <t>Gear Ratio</t>
  </si>
  <si>
    <t>i</t>
  </si>
  <si>
    <t>20</t>
  </si>
  <si>
    <t>Planetary gearbox</t>
  </si>
  <si>
    <t>Gearbox Efficiency</t>
  </si>
  <si>
    <t>η</t>
  </si>
  <si>
    <t>0.95</t>
  </si>
  <si>
    <t>High precision gearbox</t>
  </si>
  <si>
    <t>Required Servo Torque</t>
  </si>
  <si>
    <t>T_s=T_d/(i·η)</t>
  </si>
  <si>
    <t>0.378/(20×0.95)</t>
  </si>
  <si>
    <t>Actual servo load</t>
  </si>
  <si>
    <t>Servo Rated Torque</t>
  </si>
  <si>
    <t>Datasheet</t>
  </si>
  <si>
    <t>MSMF042L1U</t>
  </si>
  <si>
    <t>0.16</t>
  </si>
  <si>
    <t>Continuous operation</t>
  </si>
  <si>
    <t>Servo Peak Torque</t>
  </si>
  <si>
    <t>0.48</t>
  </si>
  <si>
    <t>Acceleration peak</t>
  </si>
  <si>
    <t>Gearbox Output Torque</t>
  </si>
  <si>
    <t>T_out=T_s·i·η</t>
  </si>
  <si>
    <t>0.16×20×0.95</t>
  </si>
  <si>
    <t>3.04</t>
  </si>
  <si>
    <t>Available torque</t>
  </si>
  <si>
    <t>Effective Safety Factor</t>
  </si>
  <si>
    <t>T_out/T_design</t>
  </si>
  <si>
    <t>3.04/0.378</t>
  </si>
  <si>
    <t>≈8</t>
  </si>
  <si>
    <t>Very safe</t>
  </si>
  <si>
    <t>Design Status</t>
  </si>
  <si>
    <t>SAFE</t>
  </si>
  <si>
    <t>No resizing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</si>
</sst>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sz val="11.0"/>
      <name val="Arial"/>
    </font>
    <font>
      <b/>
      <sz val="11.0"/>
      <name val="Arial"/>
    </font>
    <font/>
    <font>
      <sz val="14.0"/>
      <name val="Arial"/>
    </font>
    <font>
      <sz val="14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Font="1"/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7.57"/>
    <col customWidth="1" min="3" max="3" width="11.29"/>
    <col customWidth="1" min="4" max="4" width="8.71"/>
    <col customWidth="1" min="5" max="5" width="28.0"/>
    <col customWidth="1" min="6" max="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444.0</v>
      </c>
      <c r="D2" t="s">
        <v>7</v>
      </c>
      <c r="E2" t="s">
        <v>8</v>
      </c>
    </row>
    <row r="3">
      <c r="A3" t="s">
        <v>9</v>
      </c>
      <c r="B3" t="s">
        <v>10</v>
      </c>
      <c r="C3">
        <v>286.0</v>
      </c>
      <c r="D3" t="s">
        <v>7</v>
      </c>
      <c r="E3" t="s">
        <v>11</v>
      </c>
    </row>
    <row r="4">
      <c r="A4" t="s">
        <v>12</v>
      </c>
      <c r="B4" t="s">
        <v>13</v>
      </c>
      <c r="C4">
        <v>4.5</v>
      </c>
      <c r="D4" t="s">
        <v>14</v>
      </c>
      <c r="E4" t="s">
        <v>15</v>
      </c>
    </row>
    <row r="5">
      <c r="A5" t="s">
        <v>16</v>
      </c>
      <c r="B5" t="s">
        <v>17</v>
      </c>
      <c r="C5">
        <v>60.0</v>
      </c>
      <c r="D5" t="s">
        <v>7</v>
      </c>
      <c r="E5" t="s">
        <v>18</v>
      </c>
    </row>
    <row r="6">
      <c r="A6" t="s">
        <v>19</v>
      </c>
      <c r="B6" t="s">
        <v>20</v>
      </c>
      <c r="C6">
        <v>60.0</v>
      </c>
      <c r="D6" t="s">
        <v>7</v>
      </c>
      <c r="E6" t="s">
        <v>21</v>
      </c>
    </row>
    <row r="7">
      <c r="A7" t="s">
        <v>22</v>
      </c>
      <c r="B7" t="s">
        <v>23</v>
      </c>
      <c r="C7">
        <v>16.0</v>
      </c>
      <c r="D7" t="s">
        <v>7</v>
      </c>
      <c r="E7" t="s">
        <v>24</v>
      </c>
    </row>
    <row r="8">
      <c r="A8" t="s">
        <v>25</v>
      </c>
      <c r="B8" t="s">
        <v>26</v>
      </c>
      <c r="C8">
        <v>110.0</v>
      </c>
      <c r="D8" t="s">
        <v>7</v>
      </c>
      <c r="E8" t="s">
        <v>27</v>
      </c>
    </row>
    <row r="9">
      <c r="A9" t="s">
        <v>28</v>
      </c>
      <c r="B9" t="s">
        <v>29</v>
      </c>
      <c r="C9">
        <v>16.0</v>
      </c>
      <c r="D9" t="s">
        <v>7</v>
      </c>
      <c r="E9" t="s">
        <v>30</v>
      </c>
    </row>
    <row r="10">
      <c r="A10" t="s">
        <v>31</v>
      </c>
      <c r="B10" t="s">
        <v>32</v>
      </c>
      <c r="C10">
        <v>35.0</v>
      </c>
      <c r="D10" t="s">
        <v>7</v>
      </c>
      <c r="E10" t="s">
        <v>33</v>
      </c>
    </row>
    <row r="11">
      <c r="A11" t="s">
        <v>34</v>
      </c>
      <c r="B11" t="s">
        <v>35</v>
      </c>
      <c r="C11">
        <v>14.0</v>
      </c>
      <c r="D11" t="s">
        <v>7</v>
      </c>
      <c r="E11" t="s">
        <v>36</v>
      </c>
    </row>
    <row r="12">
      <c r="A12" t="s">
        <v>37</v>
      </c>
      <c r="B12" t="s">
        <v>38</v>
      </c>
      <c r="C12">
        <v>4.0</v>
      </c>
      <c r="D12" t="s">
        <v>7</v>
      </c>
      <c r="E12" t="s">
        <v>39</v>
      </c>
    </row>
    <row r="13">
      <c r="A13" t="s">
        <v>40</v>
      </c>
      <c r="B13" t="s">
        <v>41</v>
      </c>
      <c r="C13">
        <v>22.0</v>
      </c>
      <c r="D13" t="s">
        <v>7</v>
      </c>
      <c r="E13" t="s">
        <v>42</v>
      </c>
    </row>
    <row r="14">
      <c r="A14" t="s">
        <v>43</v>
      </c>
      <c r="B14" t="s">
        <v>44</v>
      </c>
      <c r="C14" t="s">
        <v>45</v>
      </c>
      <c r="D14" t="s">
        <v>7</v>
      </c>
      <c r="E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53</v>
      </c>
      <c r="C16" t="s">
        <v>54</v>
      </c>
      <c r="D16" t="s">
        <v>7</v>
      </c>
      <c r="E1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2.71"/>
    <col customWidth="1" min="3" max="3" width="26.14"/>
    <col customWidth="1" min="4" max="4" width="28.0"/>
    <col customWidth="1" min="5" max="5" width="23.86"/>
    <col customWidth="1" min="6" max="6" width="14.43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/>
      <c r="G1" s="1"/>
      <c r="H1" s="1"/>
      <c r="I1" s="1"/>
      <c r="J1" s="1"/>
      <c r="K1" s="1"/>
    </row>
    <row r="2">
      <c r="A2" s="2">
        <v>1.0</v>
      </c>
      <c r="B2" s="1" t="s">
        <v>61</v>
      </c>
      <c r="C2" s="1" t="s">
        <v>62</v>
      </c>
      <c r="D2" s="1" t="s">
        <v>63</v>
      </c>
      <c r="E2" s="1" t="s">
        <v>64</v>
      </c>
      <c r="F2" s="1"/>
      <c r="G2" s="1"/>
      <c r="H2" s="1"/>
      <c r="I2" s="1"/>
      <c r="J2" s="1"/>
      <c r="K2" s="1"/>
    </row>
    <row r="3">
      <c r="A3" s="2">
        <v>2.0</v>
      </c>
      <c r="B3" s="1" t="s">
        <v>65</v>
      </c>
      <c r="C3" s="1" t="s">
        <v>66</v>
      </c>
      <c r="D3" s="1" t="s">
        <v>67</v>
      </c>
      <c r="E3" s="1" t="s">
        <v>68</v>
      </c>
      <c r="F3" s="1"/>
      <c r="G3" s="1"/>
      <c r="H3" s="1"/>
      <c r="I3" s="1"/>
      <c r="J3" s="1"/>
      <c r="K3" s="1"/>
    </row>
    <row r="4">
      <c r="A4" s="2">
        <v>3.0</v>
      </c>
      <c r="B4" s="1" t="s">
        <v>69</v>
      </c>
      <c r="C4" s="1" t="s">
        <v>70</v>
      </c>
      <c r="D4" s="1" t="s">
        <v>71</v>
      </c>
      <c r="E4" s="1" t="s">
        <v>72</v>
      </c>
      <c r="F4" s="1"/>
      <c r="G4" s="1"/>
      <c r="H4" s="1"/>
      <c r="I4" s="1"/>
      <c r="J4" s="1"/>
      <c r="K4" s="1"/>
    </row>
    <row r="5">
      <c r="A5" s="2">
        <v>4.0</v>
      </c>
      <c r="B5" s="1" t="s">
        <v>73</v>
      </c>
      <c r="C5" s="1" t="s">
        <v>74</v>
      </c>
      <c r="D5" s="1" t="s">
        <v>75</v>
      </c>
      <c r="E5" s="1" t="s">
        <v>76</v>
      </c>
      <c r="F5" s="1"/>
      <c r="G5" s="1"/>
      <c r="H5" s="1"/>
      <c r="I5" s="1"/>
      <c r="J5" s="1"/>
      <c r="K5" s="1"/>
    </row>
    <row r="6">
      <c r="A6" s="2">
        <v>5.0</v>
      </c>
      <c r="B6" s="1" t="s">
        <v>77</v>
      </c>
      <c r="C6" s="1" t="s">
        <v>78</v>
      </c>
      <c r="D6" s="1" t="s">
        <v>71</v>
      </c>
      <c r="E6" s="1" t="s">
        <v>79</v>
      </c>
      <c r="F6" s="1"/>
      <c r="G6" s="1"/>
      <c r="H6" s="1"/>
      <c r="I6" s="1"/>
      <c r="J6" s="1"/>
      <c r="K6" s="1"/>
    </row>
    <row r="7">
      <c r="A7" s="2">
        <v>6.0</v>
      </c>
      <c r="B7" s="1" t="s">
        <v>80</v>
      </c>
      <c r="C7" s="1" t="s">
        <v>81</v>
      </c>
      <c r="D7" s="1" t="s">
        <v>82</v>
      </c>
      <c r="E7" s="1" t="s">
        <v>83</v>
      </c>
      <c r="F7" s="1"/>
      <c r="G7" s="1"/>
      <c r="H7" s="1"/>
      <c r="I7" s="1"/>
      <c r="J7" s="1"/>
      <c r="K7" s="1"/>
    </row>
    <row r="8">
      <c r="A8" s="2">
        <v>7.0</v>
      </c>
      <c r="B8" s="1" t="s">
        <v>84</v>
      </c>
      <c r="C8" s="1" t="s">
        <v>85</v>
      </c>
      <c r="D8" s="1" t="s">
        <v>86</v>
      </c>
      <c r="E8" s="1" t="s">
        <v>87</v>
      </c>
      <c r="F8" s="1"/>
      <c r="G8" s="1"/>
      <c r="H8" s="1"/>
      <c r="I8" s="1"/>
      <c r="J8" s="1"/>
      <c r="K8" s="1"/>
    </row>
    <row r="9">
      <c r="A9" s="2">
        <v>8.0</v>
      </c>
      <c r="B9" s="1" t="s">
        <v>88</v>
      </c>
      <c r="C9" s="1" t="s">
        <v>89</v>
      </c>
      <c r="D9" s="1" t="s">
        <v>90</v>
      </c>
      <c r="E9" s="1" t="s">
        <v>91</v>
      </c>
      <c r="F9" s="1"/>
      <c r="G9" s="1"/>
      <c r="H9" s="1"/>
      <c r="I9" s="1"/>
      <c r="J9" s="1"/>
      <c r="K9" s="1"/>
    </row>
    <row r="10">
      <c r="A10" s="2">
        <v>9.0</v>
      </c>
      <c r="B10" s="1" t="s">
        <v>92</v>
      </c>
      <c r="C10" s="1" t="s">
        <v>93</v>
      </c>
      <c r="D10" s="1" t="s">
        <v>71</v>
      </c>
      <c r="E10" s="1" t="s">
        <v>94</v>
      </c>
      <c r="F10" s="1"/>
      <c r="G10" s="1"/>
      <c r="H10" s="1"/>
      <c r="I10" s="1"/>
      <c r="J10" s="1"/>
      <c r="K10" s="1"/>
    </row>
    <row r="11">
      <c r="A11" s="2">
        <v>10.0</v>
      </c>
      <c r="B11" s="1" t="s">
        <v>95</v>
      </c>
      <c r="C11" s="1" t="s">
        <v>96</v>
      </c>
      <c r="D11" s="1" t="s">
        <v>97</v>
      </c>
      <c r="E11" s="1" t="s">
        <v>98</v>
      </c>
      <c r="F11" s="1"/>
      <c r="G11" s="1"/>
      <c r="H11" s="1"/>
      <c r="I11" s="1"/>
      <c r="J11" s="1"/>
      <c r="K11" s="1"/>
    </row>
    <row r="12">
      <c r="A12" s="2">
        <v>11.0</v>
      </c>
      <c r="B12" s="1" t="s">
        <v>99</v>
      </c>
      <c r="C12" s="1" t="s">
        <v>100</v>
      </c>
      <c r="D12" s="1" t="s">
        <v>101</v>
      </c>
      <c r="E12" s="1" t="s">
        <v>102</v>
      </c>
      <c r="F12" s="1"/>
      <c r="G12" s="1"/>
      <c r="H12" s="1"/>
      <c r="I12" s="1"/>
      <c r="J12" s="1"/>
      <c r="K12" s="1"/>
    </row>
    <row r="13">
      <c r="A13" s="2">
        <v>12.0</v>
      </c>
      <c r="B13" s="1" t="s">
        <v>103</v>
      </c>
      <c r="C13" s="1" t="s">
        <v>104</v>
      </c>
      <c r="D13" s="1" t="s">
        <v>105</v>
      </c>
      <c r="E13" s="1" t="s">
        <v>106</v>
      </c>
      <c r="F13" s="1"/>
      <c r="G13" s="1"/>
      <c r="H13" s="1"/>
      <c r="I13" s="1"/>
      <c r="J13" s="1"/>
      <c r="K13" s="1"/>
    </row>
    <row r="14">
      <c r="A14" s="2">
        <v>13.0</v>
      </c>
      <c r="B14" s="1" t="s">
        <v>107</v>
      </c>
      <c r="C14" s="1" t="s">
        <v>108</v>
      </c>
      <c r="D14" s="1" t="s">
        <v>109</v>
      </c>
      <c r="E14" s="1" t="s">
        <v>110</v>
      </c>
      <c r="F14" s="1"/>
      <c r="G14" s="1"/>
      <c r="H14" s="1"/>
      <c r="I14" s="1"/>
      <c r="J14" s="1"/>
      <c r="K14" s="1"/>
    </row>
    <row r="15">
      <c r="A15" s="2">
        <v>14.0</v>
      </c>
      <c r="B15" s="1" t="s">
        <v>111</v>
      </c>
      <c r="C15" s="1" t="s">
        <v>112</v>
      </c>
      <c r="D15" s="1" t="s">
        <v>113</v>
      </c>
      <c r="E15" s="1" t="s">
        <v>114</v>
      </c>
      <c r="F15" s="1"/>
      <c r="G15" s="1"/>
      <c r="H15" s="1"/>
      <c r="I15" s="1"/>
      <c r="J15" s="1"/>
      <c r="K15" s="1"/>
    </row>
    <row r="16">
      <c r="A16" s="2">
        <v>15.0</v>
      </c>
      <c r="B16" s="1" t="s">
        <v>115</v>
      </c>
      <c r="C16" s="1" t="s">
        <v>116</v>
      </c>
      <c r="D16" s="1" t="s">
        <v>117</v>
      </c>
      <c r="E16" s="1" t="s">
        <v>118</v>
      </c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57</v>
      </c>
      <c r="B1" s="3" t="s">
        <v>58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4</v>
      </c>
      <c r="H1" s="3"/>
      <c r="I1" s="3" t="s">
        <v>123</v>
      </c>
      <c r="J1" s="3"/>
      <c r="K1" s="3"/>
    </row>
    <row r="2">
      <c r="A2" s="3"/>
      <c r="B2" s="3"/>
      <c r="C2" s="3"/>
      <c r="D2" s="3"/>
      <c r="E2" s="3"/>
      <c r="F2" s="3"/>
      <c r="G2" s="3"/>
      <c r="H2" s="3"/>
      <c r="I2" s="3" t="s">
        <v>124</v>
      </c>
      <c r="J2" s="4">
        <v>0.5</v>
      </c>
      <c r="K2" s="3"/>
    </row>
    <row r="3">
      <c r="A3" s="3"/>
      <c r="B3" s="3"/>
      <c r="C3" s="3"/>
      <c r="D3" s="3"/>
      <c r="E3" s="3"/>
      <c r="F3" s="3"/>
      <c r="G3" s="3"/>
      <c r="H3" s="3"/>
      <c r="I3" s="3" t="s">
        <v>125</v>
      </c>
      <c r="J3" s="4">
        <v>9.81</v>
      </c>
      <c r="K3" s="3"/>
    </row>
    <row r="4">
      <c r="A4" s="3"/>
      <c r="B4" s="3"/>
      <c r="C4" s="3"/>
      <c r="D4" s="3"/>
      <c r="E4" s="3"/>
      <c r="F4" s="3"/>
      <c r="G4" s="3"/>
      <c r="H4" s="3"/>
      <c r="I4" s="3" t="s">
        <v>126</v>
      </c>
      <c r="J4" s="4">
        <v>0.4</v>
      </c>
      <c r="K4" s="3"/>
    </row>
    <row r="5">
      <c r="A5" s="3"/>
      <c r="B5" s="3"/>
      <c r="C5" s="3"/>
      <c r="D5" s="3"/>
      <c r="E5" s="3"/>
      <c r="F5" s="3"/>
      <c r="G5" s="3"/>
      <c r="H5" s="3"/>
      <c r="I5" s="3" t="s">
        <v>127</v>
      </c>
      <c r="J5" s="4">
        <v>0.03</v>
      </c>
      <c r="K5" s="3"/>
    </row>
    <row r="6">
      <c r="A6" s="3"/>
      <c r="B6" s="3"/>
      <c r="C6" s="3"/>
      <c r="D6" s="3"/>
      <c r="E6" s="3"/>
      <c r="F6" s="3"/>
      <c r="G6" s="3"/>
      <c r="H6" s="3"/>
      <c r="I6" s="3" t="s">
        <v>128</v>
      </c>
      <c r="J6" s="4">
        <v>20.0</v>
      </c>
      <c r="K6" s="3"/>
    </row>
    <row r="7">
      <c r="A7" s="3" t="s">
        <v>129</v>
      </c>
      <c r="B7" s="3" t="s">
        <v>130</v>
      </c>
      <c r="C7" s="4" t="str">
        <f>J2*J3</f>
        <v>4.905</v>
      </c>
      <c r="D7" s="3" t="s">
        <v>131</v>
      </c>
      <c r="E7" s="4" t="str">
        <f>J2*J3</f>
        <v>4.905</v>
      </c>
      <c r="F7" s="3" t="s">
        <v>132</v>
      </c>
      <c r="G7" s="3" t="s">
        <v>133</v>
      </c>
      <c r="H7" s="3"/>
      <c r="I7" s="3"/>
      <c r="J7" s="3"/>
      <c r="K7" s="3"/>
    </row>
    <row r="8">
      <c r="A8" s="3" t="s">
        <v>77</v>
      </c>
      <c r="B8" s="3" t="s">
        <v>134</v>
      </c>
      <c r="C8" s="4" t="str">
        <f>J4*J2*J3</f>
        <v>1.962</v>
      </c>
      <c r="D8" s="3" t="s">
        <v>135</v>
      </c>
      <c r="E8" s="4" t="str">
        <f>J4*J2*J3</f>
        <v>1.962</v>
      </c>
      <c r="F8" s="3" t="s">
        <v>132</v>
      </c>
      <c r="G8" s="3" t="s">
        <v>136</v>
      </c>
      <c r="H8" s="3"/>
      <c r="I8" s="3"/>
      <c r="J8" s="3"/>
      <c r="K8" s="3"/>
    </row>
    <row r="9">
      <c r="A9" s="3" t="s">
        <v>137</v>
      </c>
      <c r="B9" s="3" t="s">
        <v>138</v>
      </c>
      <c r="C9" s="4" t="str">
        <f>(J2*J3)*J5</f>
        <v>0.14715</v>
      </c>
      <c r="D9" s="3" t="s">
        <v>139</v>
      </c>
      <c r="E9" s="4" t="str">
        <f>(J2*J3)*J5</f>
        <v>0.14715</v>
      </c>
      <c r="F9" s="3" t="s">
        <v>140</v>
      </c>
      <c r="G9" s="3" t="s">
        <v>141</v>
      </c>
      <c r="H9" s="3"/>
      <c r="I9" s="3"/>
      <c r="J9" s="3"/>
      <c r="K9" s="3"/>
    </row>
    <row r="10">
      <c r="A10" s="3" t="s">
        <v>99</v>
      </c>
      <c r="B10" s="3" t="s">
        <v>142</v>
      </c>
      <c r="C10" s="4" t="str">
        <f>J2*J5*J6^2</f>
        <v>6</v>
      </c>
      <c r="D10" s="3" t="s">
        <v>143</v>
      </c>
      <c r="E10" s="4" t="str">
        <f>J2*J5*J6^2</f>
        <v>6</v>
      </c>
      <c r="F10" s="3" t="s">
        <v>132</v>
      </c>
      <c r="G10" s="3" t="s">
        <v>144</v>
      </c>
      <c r="H10" s="3"/>
      <c r="I10" s="3"/>
      <c r="J10" s="3"/>
      <c r="K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8.71"/>
    <col customWidth="1" min="3" max="3" width="6.71"/>
    <col customWidth="1" min="4" max="4" width="6.43"/>
    <col customWidth="1" min="5" max="5" width="23.86"/>
    <col customWidth="1" min="6" max="6" width="39.71"/>
  </cols>
  <sheetData>
    <row r="1">
      <c r="A1" s="5" t="s">
        <v>145</v>
      </c>
      <c r="B1" s="5" t="s">
        <v>146</v>
      </c>
      <c r="C1" s="5" t="s">
        <v>2</v>
      </c>
      <c r="D1" s="5" t="s">
        <v>3</v>
      </c>
      <c r="E1" s="5" t="s">
        <v>147</v>
      </c>
      <c r="F1" s="5" t="s">
        <v>1</v>
      </c>
    </row>
    <row r="2">
      <c r="A2" s="1" t="s">
        <v>19</v>
      </c>
      <c r="B2" s="1" t="s">
        <v>148</v>
      </c>
      <c r="C2" s="2">
        <v>0.06</v>
      </c>
      <c r="D2" s="1" t="s">
        <v>149</v>
      </c>
      <c r="E2" s="1"/>
      <c r="F2" s="1" t="s">
        <v>150</v>
      </c>
    </row>
    <row r="3">
      <c r="A3" s="1" t="s">
        <v>151</v>
      </c>
      <c r="B3" s="1" t="s">
        <v>152</v>
      </c>
      <c r="C3" s="2">
        <v>0.016</v>
      </c>
      <c r="D3" s="1" t="s">
        <v>149</v>
      </c>
      <c r="E3" s="1"/>
      <c r="F3" s="1" t="s">
        <v>153</v>
      </c>
    </row>
    <row r="4">
      <c r="A4" s="1" t="s">
        <v>16</v>
      </c>
      <c r="B4" s="1" t="s">
        <v>154</v>
      </c>
      <c r="C4" s="2">
        <v>0.06</v>
      </c>
      <c r="D4" s="1" t="s">
        <v>149</v>
      </c>
      <c r="E4" s="1"/>
      <c r="F4" s="1" t="s">
        <v>155</v>
      </c>
    </row>
    <row r="5">
      <c r="A5" s="1" t="s">
        <v>156</v>
      </c>
      <c r="B5" s="1" t="s">
        <v>157</v>
      </c>
      <c r="C5" s="2">
        <v>4.5</v>
      </c>
      <c r="D5" s="1" t="s">
        <v>50</v>
      </c>
      <c r="E5" s="1"/>
      <c r="F5" s="1" t="s">
        <v>158</v>
      </c>
    </row>
    <row r="6">
      <c r="A6" s="1" t="s">
        <v>159</v>
      </c>
      <c r="B6" s="1" t="s">
        <v>160</v>
      </c>
      <c r="C6" s="2">
        <v>0.6</v>
      </c>
      <c r="D6" s="1" t="s">
        <v>50</v>
      </c>
      <c r="E6" s="1"/>
      <c r="F6" s="1" t="s">
        <v>161</v>
      </c>
    </row>
    <row r="7">
      <c r="A7" s="1" t="s">
        <v>162</v>
      </c>
      <c r="B7" s="1" t="s">
        <v>163</v>
      </c>
      <c r="C7" s="2">
        <v>1300.0</v>
      </c>
      <c r="D7" s="1" t="s">
        <v>164</v>
      </c>
      <c r="E7" s="1"/>
      <c r="F7" s="1" t="s">
        <v>165</v>
      </c>
    </row>
    <row r="8">
      <c r="A8" s="1" t="s">
        <v>166</v>
      </c>
      <c r="B8" s="1" t="s">
        <v>167</v>
      </c>
      <c r="C8" s="1"/>
      <c r="D8" s="1" t="s">
        <v>168</v>
      </c>
      <c r="E8" s="6" t="str">
        <f>PI()*(B2^2-B3^2)/4</f>
        <v>#VALUE!</v>
      </c>
      <c r="F8" s="1" t="s">
        <v>169</v>
      </c>
    </row>
    <row r="9">
      <c r="A9" s="1" t="s">
        <v>170</v>
      </c>
      <c r="B9" s="1" t="s">
        <v>171</v>
      </c>
      <c r="C9" s="1"/>
      <c r="D9" s="1" t="s">
        <v>172</v>
      </c>
      <c r="E9" s="6" t="str">
        <f>E8*B4</f>
        <v>#VALUE!</v>
      </c>
      <c r="F9" s="1" t="s">
        <v>173</v>
      </c>
    </row>
    <row r="10">
      <c r="A10" s="1" t="s">
        <v>174</v>
      </c>
      <c r="B10" s="1" t="s">
        <v>175</v>
      </c>
      <c r="C10" s="1"/>
      <c r="D10" s="1" t="s">
        <v>172</v>
      </c>
      <c r="E10" s="6" t="str">
        <f>E9*B6</f>
        <v>#VALUE!</v>
      </c>
      <c r="F10" s="1" t="s">
        <v>176</v>
      </c>
    </row>
    <row r="11">
      <c r="A11" s="1" t="s">
        <v>177</v>
      </c>
      <c r="B11" s="1" t="s">
        <v>178</v>
      </c>
      <c r="C11" s="1"/>
      <c r="D11" s="1" t="s">
        <v>172</v>
      </c>
      <c r="E11" s="6" t="str">
        <f>E10*B5</f>
        <v>#VALUE!</v>
      </c>
      <c r="F11" s="1" t="s">
        <v>179</v>
      </c>
    </row>
    <row r="12">
      <c r="A12" s="1" t="s">
        <v>180</v>
      </c>
      <c r="B12" s="1" t="s">
        <v>149</v>
      </c>
      <c r="C12" s="1"/>
      <c r="D12" s="1" t="s">
        <v>181</v>
      </c>
      <c r="E12" s="6" t="str">
        <f>E11*B7</f>
        <v>#VALUE!</v>
      </c>
      <c r="F12" s="1" t="s">
        <v>182</v>
      </c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2.29"/>
    <col customWidth="1" min="3" max="3" width="25.86"/>
    <col customWidth="1" min="4" max="4" width="37.29"/>
    <col customWidth="1" min="5" max="5" width="38.0"/>
    <col customWidth="1" min="6" max="6" width="41.14"/>
    <col customWidth="1" min="7" max="7" width="40.86"/>
  </cols>
  <sheetData>
    <row r="1">
      <c r="A1" s="1" t="s">
        <v>56</v>
      </c>
      <c r="B1" s="1" t="s">
        <v>183</v>
      </c>
      <c r="C1" s="1" t="s">
        <v>58</v>
      </c>
      <c r="D1" s="1" t="s">
        <v>184</v>
      </c>
      <c r="E1" s="1" t="s">
        <v>185</v>
      </c>
      <c r="F1" s="1" t="s">
        <v>186</v>
      </c>
      <c r="G1" s="7" t="s">
        <v>187</v>
      </c>
    </row>
    <row r="2">
      <c r="A2" s="2">
        <v>1.0</v>
      </c>
      <c r="B2" s="1" t="s">
        <v>188</v>
      </c>
      <c r="C2" s="1" t="s">
        <v>189</v>
      </c>
      <c r="D2" s="8" t="s">
        <v>190</v>
      </c>
      <c r="E2" s="1" t="s">
        <v>191</v>
      </c>
      <c r="F2" s="1" t="s">
        <v>192</v>
      </c>
      <c r="G2" s="9" t="s">
        <v>193</v>
      </c>
    </row>
    <row r="3">
      <c r="A3" s="2">
        <v>2.0</v>
      </c>
      <c r="B3" s="1" t="s">
        <v>194</v>
      </c>
      <c r="C3" s="1" t="s">
        <v>195</v>
      </c>
      <c r="D3" s="8" t="s">
        <v>196</v>
      </c>
      <c r="E3" s="1" t="s">
        <v>197</v>
      </c>
      <c r="F3" s="1" t="s">
        <v>198</v>
      </c>
      <c r="G3" s="9" t="s">
        <v>199</v>
      </c>
    </row>
    <row r="4">
      <c r="A4" s="2">
        <v>3.0</v>
      </c>
      <c r="B4" s="1" t="s">
        <v>200</v>
      </c>
      <c r="C4" s="1" t="s">
        <v>201</v>
      </c>
      <c r="D4" s="8" t="s">
        <v>202</v>
      </c>
      <c r="E4" s="1" t="s">
        <v>203</v>
      </c>
      <c r="F4" s="1" t="s">
        <v>204</v>
      </c>
      <c r="G4" s="9" t="s">
        <v>205</v>
      </c>
    </row>
    <row r="5">
      <c r="A5" s="2">
        <v>4.0</v>
      </c>
      <c r="B5" s="1" t="s">
        <v>206</v>
      </c>
      <c r="C5" s="1" t="s">
        <v>207</v>
      </c>
      <c r="D5" s="8" t="s">
        <v>208</v>
      </c>
      <c r="E5" s="1" t="s">
        <v>209</v>
      </c>
      <c r="F5" s="1" t="s">
        <v>210</v>
      </c>
      <c r="G5" s="9" t="s">
        <v>211</v>
      </c>
    </row>
    <row r="6">
      <c r="A6" s="2">
        <v>5.0</v>
      </c>
      <c r="B6" s="1" t="s">
        <v>212</v>
      </c>
      <c r="C6" s="1" t="s">
        <v>213</v>
      </c>
      <c r="D6" s="8" t="s">
        <v>214</v>
      </c>
      <c r="E6" s="1" t="s">
        <v>215</v>
      </c>
      <c r="F6" s="1" t="s">
        <v>216</v>
      </c>
      <c r="G6" s="9" t="s">
        <v>217</v>
      </c>
    </row>
    <row r="7">
      <c r="A7" s="2">
        <v>6.0</v>
      </c>
      <c r="B7" s="1" t="s">
        <v>218</v>
      </c>
      <c r="C7" s="1" t="s">
        <v>219</v>
      </c>
      <c r="D7" s="8" t="s">
        <v>220</v>
      </c>
      <c r="E7" s="1" t="s">
        <v>221</v>
      </c>
      <c r="F7" s="1" t="s">
        <v>222</v>
      </c>
      <c r="G7" s="9" t="s">
        <v>223</v>
      </c>
    </row>
    <row r="8">
      <c r="A8" s="2">
        <v>7.0</v>
      </c>
      <c r="B8" s="1" t="s">
        <v>224</v>
      </c>
      <c r="C8" s="1" t="s">
        <v>225</v>
      </c>
      <c r="D8" s="8" t="s">
        <v>226</v>
      </c>
      <c r="E8" s="1" t="s">
        <v>227</v>
      </c>
      <c r="F8" s="1" t="s">
        <v>228</v>
      </c>
      <c r="G8" s="9" t="s">
        <v>229</v>
      </c>
    </row>
    <row r="9">
      <c r="A9" s="2">
        <v>8.0</v>
      </c>
      <c r="B9" s="1" t="s">
        <v>230</v>
      </c>
      <c r="C9" s="1" t="s">
        <v>231</v>
      </c>
      <c r="D9" s="8" t="s">
        <v>232</v>
      </c>
      <c r="E9" s="1" t="s">
        <v>233</v>
      </c>
      <c r="F9" s="1" t="s">
        <v>234</v>
      </c>
      <c r="G9" s="9" t="s">
        <v>235</v>
      </c>
    </row>
    <row r="10">
      <c r="A10" s="2">
        <v>9.0</v>
      </c>
      <c r="B10" s="1" t="s">
        <v>236</v>
      </c>
      <c r="C10" s="1" t="s">
        <v>237</v>
      </c>
      <c r="D10" s="8" t="s">
        <v>238</v>
      </c>
      <c r="E10" s="1" t="s">
        <v>50</v>
      </c>
      <c r="F10" s="1" t="s">
        <v>239</v>
      </c>
      <c r="G10" s="9" t="s">
        <v>240</v>
      </c>
    </row>
    <row r="11">
      <c r="A11" s="2">
        <v>10.0</v>
      </c>
      <c r="B11" s="1" t="s">
        <v>241</v>
      </c>
      <c r="C11" s="1" t="s">
        <v>242</v>
      </c>
      <c r="D11" s="8" t="s">
        <v>243</v>
      </c>
      <c r="E11" s="1" t="s">
        <v>244</v>
      </c>
      <c r="F11" s="1" t="s">
        <v>245</v>
      </c>
      <c r="G11" s="9" t="s">
        <v>246</v>
      </c>
    </row>
    <row r="12">
      <c r="A12" s="2">
        <v>11.0</v>
      </c>
      <c r="B12" s="1" t="s">
        <v>247</v>
      </c>
      <c r="C12" s="1" t="s">
        <v>248</v>
      </c>
      <c r="D12" s="8" t="s">
        <v>249</v>
      </c>
      <c r="E12" s="1" t="s">
        <v>250</v>
      </c>
      <c r="F12" s="1" t="s">
        <v>251</v>
      </c>
      <c r="G12" s="9" t="s">
        <v>252</v>
      </c>
    </row>
    <row r="13">
      <c r="A13" s="2">
        <v>12.0</v>
      </c>
      <c r="B13" s="1" t="s">
        <v>253</v>
      </c>
      <c r="C13" s="1" t="s">
        <v>254</v>
      </c>
      <c r="D13" s="8" t="s">
        <v>255</v>
      </c>
      <c r="E13" s="1" t="s">
        <v>227</v>
      </c>
      <c r="F13" s="1" t="s">
        <v>256</v>
      </c>
      <c r="G13" s="9" t="s">
        <v>257</v>
      </c>
    </row>
    <row r="14">
      <c r="A14" s="2">
        <v>13.0</v>
      </c>
      <c r="B14" s="1" t="s">
        <v>258</v>
      </c>
      <c r="C14" s="1" t="s">
        <v>259</v>
      </c>
      <c r="D14" s="8" t="s">
        <v>260</v>
      </c>
      <c r="E14" s="1" t="s">
        <v>261</v>
      </c>
      <c r="F14" s="1" t="s">
        <v>262</v>
      </c>
      <c r="G14" s="9" t="s">
        <v>263</v>
      </c>
    </row>
    <row r="15">
      <c r="A15" s="2">
        <v>14.0</v>
      </c>
      <c r="B15" s="1" t="s">
        <v>264</v>
      </c>
      <c r="C15" s="1" t="s">
        <v>265</v>
      </c>
      <c r="D15" s="8" t="s">
        <v>266</v>
      </c>
      <c r="E15" s="1" t="s">
        <v>227</v>
      </c>
      <c r="F15" s="1" t="s">
        <v>267</v>
      </c>
      <c r="G15" s="9" t="s">
        <v>268</v>
      </c>
    </row>
    <row r="16">
      <c r="A16" s="2">
        <v>15.0</v>
      </c>
      <c r="B16" s="1" t="s">
        <v>129</v>
      </c>
      <c r="C16" s="1" t="s">
        <v>269</v>
      </c>
      <c r="D16" s="8" t="s">
        <v>270</v>
      </c>
      <c r="E16" s="1" t="s">
        <v>271</v>
      </c>
      <c r="F16" s="1" t="s">
        <v>272</v>
      </c>
      <c r="G16" s="9" t="s">
        <v>273</v>
      </c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8.14"/>
    <col customWidth="1" min="3" max="3" width="22.14"/>
    <col customWidth="1" min="4" max="5" width="14.43"/>
    <col customWidth="1" min="6" max="6" width="29.57"/>
  </cols>
  <sheetData>
    <row r="1">
      <c r="A1" s="10" t="s">
        <v>274</v>
      </c>
      <c r="B1" s="10" t="s">
        <v>275</v>
      </c>
      <c r="C1" s="10" t="s">
        <v>276</v>
      </c>
      <c r="D1" s="10" t="s">
        <v>277</v>
      </c>
      <c r="E1" s="10" t="s">
        <v>3</v>
      </c>
      <c r="F1" s="10" t="s">
        <v>278</v>
      </c>
    </row>
    <row r="2">
      <c r="A2" s="10" t="s">
        <v>279</v>
      </c>
      <c r="B2" s="10" t="s">
        <v>149</v>
      </c>
      <c r="C2" s="10" t="s">
        <v>280</v>
      </c>
      <c r="D2" s="10" t="s">
        <v>280</v>
      </c>
      <c r="E2" s="10" t="s">
        <v>181</v>
      </c>
      <c r="F2" s="10" t="s">
        <v>281</v>
      </c>
    </row>
    <row r="3">
      <c r="A3" s="10" t="s">
        <v>282</v>
      </c>
      <c r="B3" s="10" t="s">
        <v>283</v>
      </c>
      <c r="C3" s="10" t="s">
        <v>50</v>
      </c>
      <c r="D3" s="10" t="s">
        <v>284</v>
      </c>
      <c r="E3" s="10" t="s">
        <v>285</v>
      </c>
      <c r="F3" s="10" t="s">
        <v>286</v>
      </c>
    </row>
    <row r="4">
      <c r="A4" s="10" t="s">
        <v>287</v>
      </c>
      <c r="B4" s="10" t="s">
        <v>288</v>
      </c>
      <c r="C4" s="10" t="s">
        <v>289</v>
      </c>
      <c r="D4" s="10" t="s">
        <v>290</v>
      </c>
      <c r="E4" s="10" t="s">
        <v>132</v>
      </c>
      <c r="F4" s="10" t="s">
        <v>291</v>
      </c>
    </row>
    <row r="5">
      <c r="A5" s="10" t="s">
        <v>292</v>
      </c>
      <c r="B5" s="10" t="s">
        <v>293</v>
      </c>
      <c r="C5" s="10" t="s">
        <v>294</v>
      </c>
      <c r="D5" s="10" t="s">
        <v>295</v>
      </c>
      <c r="E5" s="10" t="s">
        <v>149</v>
      </c>
      <c r="F5" s="10" t="s">
        <v>296</v>
      </c>
    </row>
    <row r="6">
      <c r="A6" s="10" t="s">
        <v>297</v>
      </c>
      <c r="B6" s="10" t="s">
        <v>298</v>
      </c>
      <c r="C6" s="10" t="s">
        <v>299</v>
      </c>
      <c r="D6" s="10" t="s">
        <v>300</v>
      </c>
      <c r="E6" s="10" t="s">
        <v>149</v>
      </c>
      <c r="F6" s="10" t="s">
        <v>301</v>
      </c>
    </row>
    <row r="7">
      <c r="A7" s="10" t="s">
        <v>302</v>
      </c>
      <c r="B7" s="10" t="s">
        <v>303</v>
      </c>
      <c r="C7" s="10" t="s">
        <v>304</v>
      </c>
      <c r="D7" s="10" t="s">
        <v>305</v>
      </c>
      <c r="E7" s="10" t="s">
        <v>149</v>
      </c>
      <c r="F7" s="10" t="s">
        <v>306</v>
      </c>
    </row>
    <row r="8">
      <c r="A8" s="10" t="s">
        <v>307</v>
      </c>
      <c r="B8" s="10" t="s">
        <v>308</v>
      </c>
      <c r="C8" s="10" t="s">
        <v>309</v>
      </c>
      <c r="D8" s="10" t="s">
        <v>310</v>
      </c>
      <c r="E8" s="10" t="s">
        <v>140</v>
      </c>
      <c r="F8" s="10" t="s">
        <v>311</v>
      </c>
    </row>
    <row r="9">
      <c r="A9" s="10" t="s">
        <v>312</v>
      </c>
      <c r="B9" s="10" t="s">
        <v>313</v>
      </c>
      <c r="C9" s="10" t="s">
        <v>50</v>
      </c>
      <c r="D9" s="10" t="s">
        <v>314</v>
      </c>
      <c r="E9" s="10" t="s">
        <v>50</v>
      </c>
      <c r="F9" s="10" t="s">
        <v>315</v>
      </c>
    </row>
    <row r="10">
      <c r="A10" s="10" t="s">
        <v>77</v>
      </c>
      <c r="B10" s="10" t="s">
        <v>316</v>
      </c>
      <c r="C10" s="10" t="s">
        <v>317</v>
      </c>
      <c r="D10" s="10" t="s">
        <v>318</v>
      </c>
      <c r="E10" s="10" t="s">
        <v>132</v>
      </c>
      <c r="F10" s="10" t="s">
        <v>76</v>
      </c>
    </row>
    <row r="11">
      <c r="A11" s="10" t="s">
        <v>319</v>
      </c>
      <c r="B11" s="10" t="s">
        <v>320</v>
      </c>
      <c r="C11" s="10" t="s">
        <v>321</v>
      </c>
      <c r="D11" s="10" t="s">
        <v>322</v>
      </c>
      <c r="E11" s="10" t="s">
        <v>140</v>
      </c>
      <c r="F11" s="10" t="s">
        <v>323</v>
      </c>
    </row>
    <row r="12">
      <c r="A12" s="10" t="s">
        <v>324</v>
      </c>
      <c r="B12" s="10" t="s">
        <v>325</v>
      </c>
      <c r="C12" s="10" t="s">
        <v>326</v>
      </c>
      <c r="D12" s="10" t="s">
        <v>327</v>
      </c>
      <c r="E12" s="10" t="s">
        <v>140</v>
      </c>
      <c r="F12" s="10" t="s">
        <v>328</v>
      </c>
    </row>
    <row r="13">
      <c r="A13" s="10" t="s">
        <v>329</v>
      </c>
      <c r="B13" s="10" t="s">
        <v>330</v>
      </c>
      <c r="C13" s="10" t="s">
        <v>331</v>
      </c>
      <c r="D13" s="10" t="s">
        <v>332</v>
      </c>
      <c r="E13" s="10" t="s">
        <v>140</v>
      </c>
      <c r="F13" s="10" t="s">
        <v>333</v>
      </c>
    </row>
    <row r="14">
      <c r="A14" s="10" t="s">
        <v>334</v>
      </c>
      <c r="B14" s="10" t="s">
        <v>335</v>
      </c>
      <c r="C14" s="10" t="s">
        <v>336</v>
      </c>
      <c r="D14" s="10" t="s">
        <v>337</v>
      </c>
      <c r="E14" s="10" t="s">
        <v>140</v>
      </c>
      <c r="F14" s="10" t="s">
        <v>338</v>
      </c>
    </row>
    <row r="15">
      <c r="A15" s="10" t="s">
        <v>339</v>
      </c>
      <c r="B15" s="10" t="s">
        <v>340</v>
      </c>
      <c r="C15" s="10" t="s">
        <v>341</v>
      </c>
      <c r="D15" s="10" t="s">
        <v>342</v>
      </c>
      <c r="E15" s="10" t="s">
        <v>140</v>
      </c>
      <c r="F15" s="10" t="s">
        <v>343</v>
      </c>
    </row>
    <row r="16">
      <c r="A16" s="10" t="s">
        <v>344</v>
      </c>
      <c r="B16" s="10" t="s">
        <v>345</v>
      </c>
      <c r="C16" s="10" t="s">
        <v>50</v>
      </c>
      <c r="D16" s="10" t="s">
        <v>346</v>
      </c>
      <c r="E16" s="10" t="s">
        <v>50</v>
      </c>
      <c r="F16" s="10" t="s">
        <v>347</v>
      </c>
    </row>
    <row r="17">
      <c r="A17" s="10" t="s">
        <v>348</v>
      </c>
      <c r="B17" s="10" t="s">
        <v>349</v>
      </c>
      <c r="C17" s="10" t="s">
        <v>350</v>
      </c>
      <c r="D17" s="10" t="s">
        <v>351</v>
      </c>
      <c r="E17" s="10" t="s">
        <v>140</v>
      </c>
      <c r="F17" s="10" t="s">
        <v>352</v>
      </c>
    </row>
    <row r="18">
      <c r="A18" s="10" t="s">
        <v>353</v>
      </c>
      <c r="B18" s="10" t="s">
        <v>354</v>
      </c>
      <c r="C18" s="10" t="s">
        <v>50</v>
      </c>
      <c r="D18" s="10" t="s">
        <v>355</v>
      </c>
      <c r="E18" s="10" t="s">
        <v>50</v>
      </c>
      <c r="F18" s="10" t="s">
        <v>356</v>
      </c>
    </row>
    <row r="19">
      <c r="A19" s="10" t="s">
        <v>357</v>
      </c>
      <c r="B19" s="10" t="s">
        <v>358</v>
      </c>
      <c r="C19" s="10" t="s">
        <v>50</v>
      </c>
      <c r="D19" s="10" t="s">
        <v>359</v>
      </c>
      <c r="E19" s="10" t="s">
        <v>50</v>
      </c>
      <c r="F19" s="10" t="s">
        <v>360</v>
      </c>
    </row>
    <row r="20">
      <c r="A20" s="10" t="s">
        <v>361</v>
      </c>
      <c r="B20" s="10" t="s">
        <v>362</v>
      </c>
      <c r="C20" s="10" t="s">
        <v>363</v>
      </c>
      <c r="D20" s="10" t="s">
        <v>337</v>
      </c>
      <c r="E20" s="10" t="s">
        <v>140</v>
      </c>
      <c r="F20" s="10" t="s">
        <v>364</v>
      </c>
    </row>
    <row r="21" ht="15.75" customHeight="1">
      <c r="A21" s="10" t="s">
        <v>365</v>
      </c>
      <c r="B21" s="10" t="s">
        <v>366</v>
      </c>
      <c r="C21" s="10" t="s">
        <v>367</v>
      </c>
      <c r="D21" s="10" t="s">
        <v>368</v>
      </c>
      <c r="E21" s="10" t="s">
        <v>140</v>
      </c>
      <c r="F21" s="10" t="s">
        <v>369</v>
      </c>
    </row>
    <row r="22" ht="15.75" customHeight="1">
      <c r="A22" s="10" t="s">
        <v>370</v>
      </c>
      <c r="B22" s="10" t="s">
        <v>366</v>
      </c>
      <c r="C22" s="10" t="s">
        <v>50</v>
      </c>
      <c r="D22" s="10" t="s">
        <v>371</v>
      </c>
      <c r="E22" s="10" t="s">
        <v>140</v>
      </c>
      <c r="F22" s="10" t="s">
        <v>372</v>
      </c>
    </row>
    <row r="23" ht="15.75" customHeight="1">
      <c r="A23" s="10" t="s">
        <v>373</v>
      </c>
      <c r="B23" s="10" t="s">
        <v>374</v>
      </c>
      <c r="C23" s="10" t="s">
        <v>375</v>
      </c>
      <c r="D23" s="10" t="s">
        <v>376</v>
      </c>
      <c r="E23" s="10" t="s">
        <v>140</v>
      </c>
      <c r="F23" s="10" t="s">
        <v>377</v>
      </c>
    </row>
    <row r="24" ht="15.75" customHeight="1">
      <c r="A24" s="10" t="s">
        <v>378</v>
      </c>
      <c r="B24" s="10" t="s">
        <v>379</v>
      </c>
      <c r="C24" s="10" t="s">
        <v>380</v>
      </c>
      <c r="D24" s="10" t="s">
        <v>381</v>
      </c>
      <c r="E24" s="10" t="s">
        <v>50</v>
      </c>
      <c r="F24" s="10" t="s">
        <v>382</v>
      </c>
    </row>
    <row r="25" ht="15.75" customHeight="1">
      <c r="A25" s="10" t="s">
        <v>383</v>
      </c>
      <c r="B25" s="10" t="s">
        <v>50</v>
      </c>
      <c r="C25" s="10" t="s">
        <v>50</v>
      </c>
      <c r="D25" s="10" t="s">
        <v>384</v>
      </c>
      <c r="E25" s="10" t="s">
        <v>50</v>
      </c>
      <c r="F25" s="10" t="s">
        <v>385</v>
      </c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0"/>
      <c r="B32" s="10"/>
      <c r="C32" s="10"/>
      <c r="D32" s="10"/>
      <c r="E32" s="10"/>
      <c r="F32" s="10"/>
    </row>
    <row r="33" ht="15.75" customHeight="1">
      <c r="A33" s="10"/>
      <c r="B33" s="10"/>
      <c r="C33" s="10"/>
      <c r="D33" s="10"/>
      <c r="E33" s="10"/>
      <c r="F33" s="10"/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2025-12-27T22:38:24Z</dcterms:created>
  <dc:creator>openpyxl</dc:creator>
  <dcterms:modified xsi:type="dcterms:W3CDTF">2025-12-27T22:38:24Z</dcterms:modified>
</cp:coreProperties>
</file>