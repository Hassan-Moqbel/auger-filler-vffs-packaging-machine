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ce_Equations_Parametric" sheetId="1" r:id="rId4"/>
  </sheets>
  <definedNames/>
  <calcPr/>
</workbook>
</file>

<file path=xl/sharedStrings.xml><?xml version="1.0" encoding="utf-8"?>
<sst xmlns="http://schemas.openxmlformats.org/spreadsheetml/2006/main" count="33" uniqueCount="31">
  <si>
    <t>Force Type</t>
  </si>
  <si>
    <t>Equation</t>
  </si>
  <si>
    <t>Symbolic Form</t>
  </si>
  <si>
    <t>Input Parameters</t>
  </si>
  <si>
    <t>Calculated Result (Auto)</t>
  </si>
  <si>
    <t>Units</t>
  </si>
  <si>
    <t>Notes</t>
  </si>
  <si>
    <t>Parameters</t>
  </si>
  <si>
    <t>Mass (kg)</t>
  </si>
  <si>
    <t>Gravity (m/s^2)</t>
  </si>
  <si>
    <t>Friction Coefficient (μ)</t>
  </si>
  <si>
    <t>Radius (m)</t>
  </si>
  <si>
    <t>Angular Speed (rad/s)</t>
  </si>
  <si>
    <t>Weight Force</t>
  </si>
  <si>
    <t>F = m*g</t>
  </si>
  <si>
    <t>m, g</t>
  </si>
  <si>
    <t>N</t>
  </si>
  <si>
    <t>Gravitational force of material</t>
  </si>
  <si>
    <t>Axial Friction Force</t>
  </si>
  <si>
    <t>F = μ*m*g</t>
  </si>
  <si>
    <t>μ, m, g</t>
  </si>
  <si>
    <t>Axial resistance</t>
  </si>
  <si>
    <t>Torque from Weight</t>
  </si>
  <si>
    <t>T = F*r</t>
  </si>
  <si>
    <t>m, g, r</t>
  </si>
  <si>
    <t>N·m</t>
  </si>
  <si>
    <t>Torque due to mass</t>
  </si>
  <si>
    <t>Centrifugal Force</t>
  </si>
  <si>
    <t>F = m*r*ω²</t>
  </si>
  <si>
    <t>m, r, ω</t>
  </si>
  <si>
    <t>Rotational force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</si>
</sst>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1.29"/>
    <col customWidth="1" min="3" max="3" width="15.14"/>
    <col customWidth="1" min="4" max="4" width="17.29"/>
    <col customWidth="1" min="5" max="5" width="23.86"/>
    <col customWidth="1" min="6" max="6" width="6.0"/>
    <col customWidth="1" min="7" max="7" width="28.57"/>
    <col customWidth="1" min="8" max="8" width="8.71"/>
    <col customWidth="1" min="9" max="9" width="21.71"/>
    <col customWidth="1" min="10" max="10" width="5.29"/>
    <col customWidth="1" min="11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</row>
    <row r="2">
      <c r="I2" t="s">
        <v>8</v>
      </c>
      <c r="J2">
        <v>0.5</v>
      </c>
    </row>
    <row r="3">
      <c r="I3" t="s">
        <v>9</v>
      </c>
      <c r="J3">
        <v>9.81</v>
      </c>
    </row>
    <row r="4">
      <c r="I4" t="s">
        <v>10</v>
      </c>
      <c r="J4">
        <v>0.4</v>
      </c>
    </row>
    <row r="5">
      <c r="I5" t="s">
        <v>11</v>
      </c>
      <c r="J5">
        <v>0.03</v>
      </c>
    </row>
    <row r="6">
      <c r="I6" t="s">
        <v>12</v>
      </c>
      <c r="J6">
        <v>20.0</v>
      </c>
    </row>
    <row r="7">
      <c r="A7" t="s">
        <v>13</v>
      </c>
      <c r="B7" t="s">
        <v>14</v>
      </c>
      <c r="C7" t="str">
        <f>J2*J3</f>
        <v>4.905</v>
      </c>
      <c r="D7" t="s">
        <v>15</v>
      </c>
      <c r="E7" t="str">
        <f>J2*J3</f>
        <v>4.905</v>
      </c>
      <c r="F7" t="s">
        <v>16</v>
      </c>
      <c r="G7" t="s">
        <v>17</v>
      </c>
    </row>
    <row r="8">
      <c r="A8" t="s">
        <v>18</v>
      </c>
      <c r="B8" t="s">
        <v>19</v>
      </c>
      <c r="C8" t="str">
        <f>J4*J2*J3</f>
        <v>1.962</v>
      </c>
      <c r="D8" t="s">
        <v>20</v>
      </c>
      <c r="E8" t="str">
        <f>J4*J2*J3</f>
        <v>1.962</v>
      </c>
      <c r="F8" t="s">
        <v>16</v>
      </c>
      <c r="G8" t="s">
        <v>21</v>
      </c>
    </row>
    <row r="9">
      <c r="A9" t="s">
        <v>22</v>
      </c>
      <c r="B9" t="s">
        <v>23</v>
      </c>
      <c r="C9" t="str">
        <f>(J2*J3)*J5</f>
        <v>0.14715</v>
      </c>
      <c r="D9" t="s">
        <v>24</v>
      </c>
      <c r="E9" t="str">
        <f>(J2*J3)*J5</f>
        <v>0.14715</v>
      </c>
      <c r="F9" t="s">
        <v>25</v>
      </c>
      <c r="G9" t="s">
        <v>26</v>
      </c>
    </row>
    <row r="10">
      <c r="A10" t="s">
        <v>27</v>
      </c>
      <c r="B10" t="s">
        <v>28</v>
      </c>
      <c r="C10" t="str">
        <f>J2*J5*J6^2</f>
        <v>6</v>
      </c>
      <c r="D10" t="s">
        <v>29</v>
      </c>
      <c r="E10" t="str">
        <f>J2*J5*J6^2</f>
        <v>6</v>
      </c>
      <c r="F10" t="s">
        <v>16</v>
      </c>
      <c r="G10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2026-01-17T21:47:17Z</dcterms:created>
  <dc:creator>openpyxl</dc:creator>
  <dcterms:modified xsi:type="dcterms:W3CDTF">2026-01-17T21:47:17Z</dcterms:modified>
</cp:coreProperties>
</file>