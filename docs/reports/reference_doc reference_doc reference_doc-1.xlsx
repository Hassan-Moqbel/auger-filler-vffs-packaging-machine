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inkpad\Desktop\بلوتوث\"/>
    </mc:Choice>
  </mc:AlternateContent>
  <xr:revisionPtr revIDLastSave="0" documentId="13_ncr:1_{5B87367B-31F4-4620-94DC-4B31641F8816}" xr6:coauthVersionLast="47" xr6:coauthVersionMax="47" xr10:uidLastSave="{00000000-0000-0000-0000-000000000000}"/>
  <bookViews>
    <workbookView xWindow="-108" yWindow="-108" windowWidth="23256" windowHeight="12576" xr2:uid="{00000000-000D-0000-FFFF-FFFF00000000}"/>
  </bookViews>
  <sheets>
    <sheet name="خطة مزمنة" sheetId="1" r:id="rId1"/>
  </sheets>
  <definedNames>
    <definedName name="_xlnm._FilterDatabase" localSheetId="0" hidden="1">'خطة مزمنة'!$B$6:$I$17</definedName>
    <definedName name="Display_Week">'خطة مزمنة'!$H$4</definedName>
    <definedName name="_xlnm.Print_Area" localSheetId="0">'خطة مزمنة'!$A$1:$BO$62</definedName>
    <definedName name="_xlnm.Print_Titles" localSheetId="0">'خطة مزمنة'!$1:$6</definedName>
    <definedName name="Project_Start">'خطة مزمنة'!$D$3</definedName>
    <definedName name="task_end" localSheetId="0">'خطة مزمنة'!$I1</definedName>
    <definedName name="task_progress" localSheetId="0">'خطة مزمنة'!$G1</definedName>
    <definedName name="task_start" localSheetId="0">'خطة مزمنة'!$H1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1" l="1"/>
  <c r="I28" i="1"/>
  <c r="I36" i="1"/>
  <c r="I35" i="1"/>
  <c r="I34" i="1"/>
  <c r="I37" i="1"/>
  <c r="H39" i="1" s="1"/>
  <c r="H40" i="1" s="1"/>
  <c r="I40" i="1" s="1"/>
  <c r="I33" i="1"/>
  <c r="I32" i="1"/>
  <c r="I30" i="1"/>
  <c r="I29" i="1"/>
  <c r="I27" i="1"/>
  <c r="I26" i="1"/>
  <c r="I25" i="1"/>
  <c r="I24" i="1"/>
  <c r="I23" i="1"/>
  <c r="I22" i="1"/>
  <c r="I21" i="1"/>
  <c r="I20" i="1"/>
  <c r="I19" i="1"/>
  <c r="K10" i="1"/>
  <c r="K9" i="1"/>
  <c r="H8" i="1"/>
  <c r="G8" i="1"/>
  <c r="K7" i="1"/>
  <c r="L5" i="1"/>
  <c r="M5" i="1" s="1"/>
  <c r="I18" i="1" l="1"/>
  <c r="L4" i="1"/>
  <c r="H51" i="1"/>
  <c r="H52" i="1" s="1"/>
  <c r="I52" i="1" s="1"/>
  <c r="I51" i="1" s="1"/>
  <c r="F51" i="1" s="1"/>
  <c r="I39" i="1"/>
  <c r="N5" i="1"/>
  <c r="M6" i="1"/>
  <c r="L6" i="1"/>
  <c r="O5" i="1" l="1"/>
  <c r="N6" i="1"/>
  <c r="F39" i="1"/>
  <c r="I8" i="1"/>
  <c r="F8" i="1" s="1"/>
  <c r="O6" i="1" l="1"/>
  <c r="P5" i="1"/>
  <c r="Q5" i="1" l="1"/>
  <c r="P6" i="1"/>
  <c r="R5" i="1" l="1"/>
  <c r="Q6" i="1"/>
  <c r="S5" i="1" l="1"/>
  <c r="R6" i="1"/>
  <c r="S4" i="1" l="1"/>
  <c r="T5" i="1"/>
  <c r="S6" i="1"/>
  <c r="U5" i="1" l="1"/>
  <c r="T6" i="1"/>
  <c r="V5" i="1" l="1"/>
  <c r="U6" i="1"/>
  <c r="W5" i="1" l="1"/>
  <c r="V6" i="1"/>
  <c r="W6" i="1" l="1"/>
  <c r="X5" i="1"/>
  <c r="Y5" i="1" l="1"/>
  <c r="X6" i="1"/>
  <c r="Z5" i="1" l="1"/>
  <c r="Y6" i="1"/>
  <c r="Z4" i="1" l="1"/>
  <c r="AA5" i="1"/>
  <c r="Z6" i="1"/>
  <c r="AB5" i="1" l="1"/>
  <c r="AA6" i="1"/>
  <c r="AC5" i="1" l="1"/>
  <c r="AB6" i="1"/>
  <c r="AD5" i="1" l="1"/>
  <c r="AC6" i="1"/>
  <c r="AE5" i="1" l="1"/>
  <c r="AD6" i="1"/>
  <c r="AE6" i="1" l="1"/>
  <c r="AF5" i="1"/>
  <c r="AG5" i="1" l="1"/>
  <c r="AF6" i="1"/>
  <c r="AG4" i="1" l="1"/>
  <c r="AH5" i="1"/>
  <c r="AG6" i="1"/>
  <c r="AI5" i="1" l="1"/>
  <c r="AH6" i="1"/>
  <c r="AJ5" i="1" l="1"/>
  <c r="AI6" i="1"/>
  <c r="AK5" i="1" l="1"/>
  <c r="AJ6" i="1"/>
  <c r="AL5" i="1" l="1"/>
  <c r="AK6" i="1"/>
  <c r="AM5" i="1" l="1"/>
  <c r="AL6" i="1"/>
  <c r="AM6" i="1" l="1"/>
  <c r="AN5" i="1"/>
  <c r="AO5" i="1" l="1"/>
  <c r="AN6" i="1"/>
  <c r="AN4" i="1"/>
  <c r="AP5" i="1" l="1"/>
  <c r="AO6" i="1"/>
  <c r="AQ5" i="1" l="1"/>
  <c r="AP6" i="1"/>
  <c r="AR5" i="1" l="1"/>
  <c r="AQ6" i="1"/>
  <c r="AS5" i="1" l="1"/>
  <c r="AR6" i="1"/>
  <c r="AT5" i="1" l="1"/>
  <c r="AS6" i="1"/>
  <c r="AU5" i="1" l="1"/>
  <c r="AT6" i="1"/>
  <c r="AU6" i="1" l="1"/>
  <c r="AU4" i="1"/>
  <c r="AV5" i="1"/>
  <c r="AW5" i="1" l="1"/>
  <c r="AV6" i="1"/>
  <c r="AX5" i="1" l="1"/>
  <c r="AW6" i="1"/>
  <c r="AY5" i="1" l="1"/>
  <c r="AX6" i="1"/>
  <c r="AZ5" i="1" l="1"/>
  <c r="AY6" i="1"/>
  <c r="BA5" i="1" l="1"/>
  <c r="AZ6" i="1"/>
  <c r="BB5" i="1" l="1"/>
  <c r="BA6" i="1"/>
  <c r="BC5" i="1" l="1"/>
  <c r="BB6" i="1"/>
  <c r="BB4" i="1"/>
  <c r="BC6" i="1" l="1"/>
  <c r="BD5" i="1"/>
  <c r="BE5" i="1" l="1"/>
  <c r="BD6" i="1"/>
  <c r="BF5" i="1" l="1"/>
  <c r="BE6" i="1"/>
  <c r="BG5" i="1" l="1"/>
  <c r="BF6" i="1"/>
  <c r="BH5" i="1" l="1"/>
  <c r="BG6" i="1"/>
  <c r="BI5" i="1" l="1"/>
  <c r="BH6" i="1"/>
  <c r="BJ5" i="1" l="1"/>
  <c r="BI6" i="1"/>
  <c r="BI4" i="1"/>
  <c r="BK5" i="1" l="1"/>
  <c r="BJ6" i="1"/>
  <c r="BK6" i="1" l="1"/>
  <c r="BL5" i="1"/>
  <c r="BM5" i="1" l="1"/>
  <c r="BL6" i="1"/>
  <c r="BN5" i="1" l="1"/>
  <c r="BM6" i="1"/>
  <c r="BO5" i="1" l="1"/>
  <c r="BO6" i="1" s="1"/>
  <c r="BN6" i="1"/>
</calcChain>
</file>

<file path=xl/sharedStrings.xml><?xml version="1.0" encoding="utf-8"?>
<sst xmlns="http://schemas.openxmlformats.org/spreadsheetml/2006/main" count="100" uniqueCount="75">
  <si>
    <t>DAYS</t>
  </si>
  <si>
    <t xml:space="preserve">Do not delete this row. This row is hidden to preserve a formula that is used to highlight the curren day within the project schedule. </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</si>
  <si>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</si>
  <si>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نسبة الأنجاز</t>
  </si>
  <si>
    <t>تاريخ البدء</t>
  </si>
  <si>
    <t>تاريخ الانتهاء</t>
  </si>
  <si>
    <t xml:space="preserve"> اسم المشروع</t>
  </si>
  <si>
    <t>كود المشروع</t>
  </si>
  <si>
    <t>م</t>
  </si>
  <si>
    <t>نسبة ما تم إنجازه</t>
  </si>
  <si>
    <t xml:space="preserve">الفترة المخطط لها </t>
  </si>
  <si>
    <t>الأسبوع المراد عرضه</t>
  </si>
  <si>
    <t>المدة الزمنية</t>
  </si>
  <si>
    <t>التوقيع</t>
  </si>
  <si>
    <t>خطة مزمنة لمشروع :</t>
  </si>
  <si>
    <t>أعضاء المشروع :</t>
  </si>
  <si>
    <t>المرحلة/ المهمة</t>
  </si>
  <si>
    <t>تاريخ بدء المشروع :</t>
  </si>
  <si>
    <t>أيام التاخير بسبب المؤسسة</t>
  </si>
  <si>
    <t>أيام التاخير بسبب الطلاب</t>
  </si>
  <si>
    <t>تاريخ انتهاء المشروع :</t>
  </si>
  <si>
    <t>إجمالي الفترة الزمنية</t>
  </si>
  <si>
    <t>المكلف بالمهمة</t>
  </si>
  <si>
    <t>المرحلة الأولى</t>
  </si>
  <si>
    <t>المرحلة الثانية</t>
  </si>
  <si>
    <t>المرحلة الثالثة</t>
  </si>
  <si>
    <t>المرحلة الرابعة</t>
  </si>
  <si>
    <t xml:space="preserve"> الدراسات البحثية والنظرية</t>
  </si>
  <si>
    <t xml:space="preserve"> التصميم والتحليل</t>
  </si>
  <si>
    <t xml:space="preserve"> الأختبار والمحاكاة ومقارنة النتائج</t>
  </si>
  <si>
    <t xml:space="preserve"> الأختبار والتنفيذ العملي Prototype </t>
  </si>
  <si>
    <t>حسن</t>
  </si>
  <si>
    <t>صهيب</t>
  </si>
  <si>
    <t>حمزة</t>
  </si>
  <si>
    <t>عبدالرحيم</t>
  </si>
  <si>
    <t>موسى</t>
  </si>
  <si>
    <t>إيهاب</t>
  </si>
  <si>
    <t>خوارزمية التحكم المبدئية، وحساب زمن التعبئة لكل وزن</t>
  </si>
  <si>
    <t xml:space="preserve">        آلة تعبئة وتغليف البودرة    </t>
  </si>
  <si>
    <t>أسابيع</t>
  </si>
  <si>
    <t>دراسة تصميم اللولب، والحسابات الحجميه</t>
  </si>
  <si>
    <t>دراسة الهوبر وسعة التغذية، وحساب كثافة وسلوك المواد</t>
  </si>
  <si>
    <t>حسابات نظام التشكيل والختم</t>
  </si>
  <si>
    <t>حساب العزم والقدرة وإختيار المحرك ونظام النقل</t>
  </si>
  <si>
    <t>تصميم الهوبر</t>
  </si>
  <si>
    <t>تصميم الهيكل</t>
  </si>
  <si>
    <t>تصميم المخططات الكهربائية  + تخطيط اللوحة</t>
  </si>
  <si>
    <t>تصميم نظام التشكيل (Forming Collar)</t>
  </si>
  <si>
    <t>نظام تغذية وسحب الفيلم</t>
  </si>
  <si>
    <t>تصميم نظام الختم الطولي + الأفقي</t>
  </si>
  <si>
    <t>تصميم اللولب ( Auger ) + توابعه</t>
  </si>
  <si>
    <t xml:space="preserve">تصميم الربط coupling  </t>
  </si>
  <si>
    <t>تصميم تروس النقل والمحرك</t>
  </si>
  <si>
    <t>تصميم الشفرات</t>
  </si>
  <si>
    <t>تصميم الربط (بين الشفرات والمحرك) + البيرنج</t>
  </si>
  <si>
    <t>تصميم هيكلة الكود pseudo + كتابة الكود للآلة</t>
  </si>
  <si>
    <t>تطوير بروتوكول MQTT وتصميم الواجهة على الهاتف</t>
  </si>
  <si>
    <t>تصميم ال Flow chart لتسلسل عمليات الألة</t>
  </si>
  <si>
    <t xml:space="preserve">ايهاب </t>
  </si>
  <si>
    <t>تحديد أسماء وطرازات الحساسات + تحديد أماكن دبابيس الإدخال والاخراج للمتحكم + وسائط تقسيم الجهد Logic converter</t>
  </si>
  <si>
    <t>دراسة المواد المستخدمه في البناء + دراسة إقتصادية ومالية</t>
  </si>
  <si>
    <t>محاكاة الآلة بإستخدام موقع Wokwi</t>
  </si>
  <si>
    <t>محاكاة مبدئية للتأكد من صحة تسلسل العمليات بإستخدام كود ومكاتب بايثون.</t>
  </si>
  <si>
    <t>محاكاة الشفرات + اللولب سوليدورك</t>
  </si>
  <si>
    <t>دراسة أسعار وتوفر القطع</t>
  </si>
  <si>
    <t>ايهاب</t>
  </si>
  <si>
    <t>تعديل تصميم ال (Forming Collar)</t>
  </si>
  <si>
    <t>تصميم مخطط الnumatic في الأوتوميشن</t>
  </si>
  <si>
    <t>محاكاة المواد والتعبئة EDEM</t>
  </si>
  <si>
    <t>محاكاة الفكوك سوليدورك</t>
  </si>
  <si>
    <t>تحليل الفكوك</t>
  </si>
  <si>
    <t xml:space="preserve">حمزة </t>
  </si>
  <si>
    <t xml:space="preserve">الانتهاء من المحاكاة </t>
  </si>
  <si>
    <t xml:space="preserve"> تصميم نظام الختم والتسخين بماتلاب + تصميم PID Controller</t>
  </si>
  <si>
    <t>PCB +البدء بكتابة التقرير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</si>
</sst>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800]dddd\,\ mmmm\ dd\,\ yyyy"/>
    <numFmt numFmtId="165" formatCode="ddd\,\ m/d/yyyy"/>
    <numFmt numFmtId="166" formatCode="mmm\ d\,\ yyyy"/>
    <numFmt numFmtId="167" formatCode="d"/>
    <numFmt numFmtId="168" formatCode="[$-2000401]dd\-mmm\-yy"/>
    <numFmt numFmtId="169" formatCode="m/d/yy;@"/>
  </numFmts>
  <fonts count="50">
    <font>
      <sz val="11"/>
      <name val="Arial"/>
    </font>
    <font>
      <sz val="11"/>
      <color rgb="FFFFFFFF"/>
      <name val="Arial"/>
    </font>
    <font>
      <sz val="11"/>
      <color rgb="FF000000"/>
      <name val="Arial"/>
    </font>
    <font>
      <sz val="11"/>
      <name val="Al-Jazeera-Arabic-Light"/>
    </font>
    <font>
      <b/>
      <sz val="36"/>
      <name val="Al-Jazeera-Arabic-Light"/>
    </font>
    <font>
      <b/>
      <sz val="24"/>
      <color rgb="FF000000"/>
      <name val="Al-Jazeera-Arabic-Bold"/>
    </font>
    <font>
      <b/>
      <sz val="20"/>
      <color rgb="FF000000"/>
      <name val="Al-Jazeera-Arabic-Bold"/>
    </font>
    <font>
      <b/>
      <sz val="16"/>
      <color rgb="FF000000"/>
      <name val="Al-Jazeera-Arabic-Light"/>
    </font>
    <font>
      <b/>
      <sz val="18"/>
      <name val="Al-Jazeera-Arabic-Light"/>
    </font>
    <font>
      <b/>
      <sz val="18"/>
      <color rgb="FF000000"/>
      <name val="Al-Jazeera-Arabic-Light"/>
    </font>
    <font>
      <b/>
      <sz val="18"/>
      <color rgb="FF000000"/>
      <name val="Arial"/>
    </font>
    <font>
      <b/>
      <sz val="20"/>
      <color rgb="FF000000"/>
      <name val="Al-Jazeera-Arabic-Light"/>
    </font>
    <font>
      <b/>
      <sz val="16"/>
      <color rgb="FF000000"/>
      <name val="Arial"/>
    </font>
    <font>
      <sz val="11"/>
      <color rgb="FF000000"/>
      <name val="Al-Jazeera-Arabic-Light"/>
    </font>
    <font>
      <b/>
      <sz val="20"/>
      <color rgb="FFFFFFFF"/>
      <name val="Times New Roman"/>
    </font>
    <font>
      <b/>
      <sz val="11"/>
      <color rgb="FFFFFFFF"/>
      <name val="Times New Roman"/>
    </font>
    <font>
      <sz val="11"/>
      <color rgb="FF000000"/>
      <name val="Times New Roman"/>
    </font>
    <font>
      <b/>
      <sz val="11"/>
      <color rgb="FF000000"/>
      <name val="Arial"/>
    </font>
    <font>
      <sz val="11"/>
      <color rgb="FFFFFFFF"/>
      <name val="Times New Roman"/>
    </font>
    <font>
      <sz val="9"/>
      <name val="Arial"/>
    </font>
    <font>
      <b/>
      <sz val="14"/>
      <color rgb="FFFFFFFF"/>
      <name val="Al-Jazeera-Arabic-Light"/>
    </font>
    <font>
      <b/>
      <sz val="18"/>
      <color rgb="FFFFFFFF"/>
      <name val="Al-Jazeera-Arabic-Light"/>
    </font>
    <font>
      <b/>
      <sz val="18"/>
      <color rgb="FFFFFFFF"/>
      <name val="Al-Jazeera-Arabic-Light"/>
    </font>
    <font>
      <b/>
      <sz val="14"/>
      <color rgb="FFFFFFFF"/>
      <name val="Al-Jazeera-Arabic-Light"/>
    </font>
    <font>
      <b/>
      <sz val="14"/>
      <name val="Al-Jazeera-Arabic-Light"/>
    </font>
    <font>
      <b/>
      <sz val="9"/>
      <color rgb="FFFFFFFF"/>
      <name val="Times New Roman"/>
    </font>
    <font>
      <b/>
      <sz val="9"/>
      <color rgb="FFFFFFFF"/>
      <name val="Arial"/>
    </font>
    <font>
      <sz val="8"/>
      <color rgb="FFFFFFFF"/>
      <name val="Arial"/>
    </font>
    <font>
      <b/>
      <sz val="20"/>
      <color rgb="FFFFFFFF"/>
      <name val="Al-Jazeera-Arabic-Light"/>
    </font>
    <font>
      <sz val="14"/>
      <name val="Al-Jazeera-Arabic-Light"/>
    </font>
    <font>
      <b/>
      <sz val="11"/>
      <name val="Al-Jazeera-Arabic-Light"/>
    </font>
    <font>
      <b/>
      <sz val="16"/>
      <color rgb="FFFFFFFF"/>
      <name val="Al-Jazeera-Arabic-Regular"/>
    </font>
    <font>
      <b/>
      <sz val="14"/>
      <color rgb="FFFFFFFF"/>
      <name val="Al-Jazeera-Arabic-Regular"/>
    </font>
    <font>
      <b/>
      <sz val="14"/>
      <color rgb="FFFFFFFF"/>
      <name val="Times New Roman"/>
    </font>
    <font>
      <sz val="14"/>
      <color rgb="FFFFFFFF"/>
      <name val="Times New Roman"/>
    </font>
    <font>
      <b/>
      <sz val="10"/>
      <color rgb="FFFFFFFF"/>
      <name val="Times New Roman"/>
    </font>
    <font>
      <sz val="11"/>
      <name val="Times New Roman"/>
    </font>
    <font>
      <sz val="11"/>
      <name val="Arial"/>
    </font>
    <font>
      <b/>
      <sz val="14"/>
      <color rgb="FF000000"/>
      <name val="Al-Jazeera-Arabic-Regular"/>
    </font>
    <font>
      <sz val="14"/>
      <color rgb="FF000000"/>
      <name val="Al-Jazeera-Arabic-Regular"/>
    </font>
    <font>
      <sz val="14"/>
      <color rgb="FF000000"/>
      <name val="Times New Roman"/>
    </font>
    <font>
      <sz val="14"/>
      <name val="Times New Roman"/>
    </font>
    <font>
      <sz val="13"/>
      <color rgb="FF000000"/>
      <name val="Al-Jazeera-Arabic-Regular"/>
    </font>
    <font>
      <sz val="13"/>
      <name val="Times New Roman"/>
    </font>
    <font>
      <b/>
      <sz val="22"/>
      <color rgb="FF000000"/>
      <name val="Times New Roman"/>
    </font>
    <font>
      <b/>
      <sz val="14"/>
      <color rgb="FF000000"/>
      <name val="Times New Roman"/>
    </font>
    <font>
      <sz val="14"/>
      <color rgb="FF000000"/>
      <name val="Arial"/>
    </font>
    <font>
      <b/>
      <sz val="22"/>
      <name val="Arial"/>
    </font>
    <font>
      <sz val="11"/>
      <color rgb="FF000000"/>
      <name val="Arial"/>
    </font>
    <font>
      <sz val="11"/>
      <color rgb="FF000000"/>
      <name val="Arial"/>
    </font>
  </fonts>
  <fills count="20">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BFBFBF"/>
        <bgColor indexed="64"/>
      </patternFill>
    </fill>
    <fill>
      <patternFill patternType="solid">
        <fgColor rgb="FF7030A0"/>
        <bgColor indexed="64"/>
      </patternFill>
    </fill>
    <fill>
      <patternFill patternType="solid">
        <fgColor rgb="FFFFFF00"/>
        <bgColor indexed="64"/>
      </patternFill>
    </fill>
    <fill>
      <patternFill patternType="solid">
        <fgColor rgb="FFD8D8D8"/>
        <bgColor indexed="64"/>
      </patternFill>
    </fill>
    <fill>
      <patternFill patternType="solid">
        <fgColor rgb="FF595959"/>
        <bgColor rgb="FF5181BD"/>
      </patternFill>
    </fill>
    <fill>
      <patternFill patternType="solid">
        <fgColor rgb="FFFFC000"/>
        <bgColor rgb="FF5181BD"/>
      </patternFill>
    </fill>
    <fill>
      <patternFill patternType="solid">
        <fgColor rgb="FF00B0F0"/>
        <bgColor rgb="FF5181BD"/>
      </patternFill>
    </fill>
    <fill>
      <patternFill patternType="solid">
        <fgColor rgb="FF92D050"/>
        <bgColor rgb="FF5181BD"/>
      </patternFill>
    </fill>
    <fill>
      <patternFill patternType="solid">
        <fgColor rgb="FFFFFF00"/>
        <bgColor rgb="FF5181BD"/>
      </patternFill>
    </fill>
    <fill>
      <patternFill patternType="solid">
        <fgColor rgb="FF595959"/>
        <bgColor indexed="64"/>
      </patternFill>
    </fill>
    <fill>
      <patternFill patternType="solid">
        <fgColor rgb="FF002060"/>
      </patternFill>
    </fill>
    <fill>
      <patternFill patternType="solid">
        <fgColor rgb="FFFFC000"/>
      </patternFill>
    </fill>
    <fill>
      <patternFill patternType="solid">
        <fgColor rgb="FF00B0F0"/>
        <bgColor indexed="64"/>
      </patternFill>
    </fill>
    <fill>
      <patternFill patternType="solid">
        <fgColor rgb="FF002060"/>
        <bgColor indexed="64"/>
      </patternFill>
    </fill>
    <fill>
      <patternFill patternType="solid">
        <fgColor rgb="FFDCE5F1"/>
        <bgColor indexed="64"/>
      </patternFill>
    </fill>
  </fills>
  <borders count="25">
    <border>
      <left/>
      <right/>
      <top/>
      <bottom/>
      <diagonal/>
    </border>
    <border>
      <left/>
      <right/>
      <top/>
      <bottom style="thin">
        <color rgb="FFA5A5A5"/>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A5A5A5"/>
      </left>
      <right style="thin">
        <color rgb="FFA5A5A5"/>
      </right>
      <top style="thin">
        <color rgb="FFA5A5A5"/>
      </top>
      <bottom style="thin">
        <color rgb="FFA5A5A5"/>
      </bottom>
      <diagonal/>
    </border>
    <border>
      <left style="thin">
        <color rgb="FFEEECE1"/>
      </left>
      <right style="thin">
        <color rgb="FFEEECE1"/>
      </right>
      <top style="thin">
        <color rgb="FFEEECE1"/>
      </top>
      <bottom style="thin">
        <color rgb="FFEEECE1"/>
      </bottom>
      <diagonal/>
    </border>
    <border>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
      <left style="thin">
        <color rgb="FFA5A5A5"/>
      </left>
      <right/>
      <top style="thin">
        <color rgb="FFA5A5A5"/>
      </top>
      <bottom style="thin">
        <color rgb="FFA5A5A5"/>
      </bottom>
      <diagonal/>
    </border>
    <border>
      <left/>
      <right/>
      <top style="thin">
        <color rgb="FFA5A5A5"/>
      </top>
      <bottom/>
      <diagonal/>
    </border>
    <border>
      <left style="thin">
        <color rgb="FFA5A5A5"/>
      </left>
      <right/>
      <top style="thin">
        <color rgb="FFA5A5A5"/>
      </top>
      <bottom/>
      <diagonal/>
    </border>
    <border>
      <left/>
      <right style="thin">
        <color rgb="FFA5A5A5"/>
      </right>
      <top/>
      <bottom/>
      <diagonal/>
    </border>
    <border>
      <left style="thin">
        <color rgb="FFA5A5A5"/>
      </left>
      <right/>
      <top/>
      <bottom/>
      <diagonal/>
    </border>
    <border>
      <left/>
      <right style="thin">
        <color rgb="FFA5A5A5"/>
      </right>
      <top style="thin">
        <color rgb="FFA5A5A5"/>
      </top>
      <bottom/>
      <diagonal/>
    </border>
    <border>
      <left style="thin">
        <color rgb="FFA5A5A5"/>
      </left>
      <right style="thin">
        <color rgb="FFA5A5A5"/>
      </right>
      <top/>
      <bottom style="medium">
        <color rgb="FFD8D8D8"/>
      </bottom>
      <diagonal/>
    </border>
    <border>
      <left style="thin">
        <color rgb="FFD8D8D8"/>
      </left>
      <right style="thin">
        <color rgb="FFD8D8D8"/>
      </right>
      <top style="medium">
        <color rgb="FFD8D8D8"/>
      </top>
      <bottom style="medium">
        <color rgb="FFD8D8D8"/>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medium">
        <color rgb="FFD8D8D8"/>
      </bottom>
      <diagonal/>
    </border>
    <border>
      <left/>
      <right/>
      <top style="medium">
        <color rgb="FFD8D8D8"/>
      </top>
      <bottom style="medium">
        <color rgb="FFD8D8D8"/>
      </bottom>
      <diagonal/>
    </border>
    <border>
      <left/>
      <right/>
      <top/>
      <bottom style="medium">
        <color rgb="FFD8D8D8"/>
      </bottom>
      <diagonal/>
    </border>
  </borders>
  <cellStyleXfs count="8">
    <xf numFmtId="0" fontId="0" fillId="0" borderId="0">
      <alignment vertical="center"/>
    </xf>
    <xf numFmtId="0" fontId="1" fillId="0" borderId="0">
      <protection locked="0"/>
    </xf>
    <xf numFmtId="0" fontId="48" fillId="0" borderId="0">
      <protection locked="0"/>
    </xf>
    <xf numFmtId="165" fontId="49" fillId="0" borderId="6">
      <protection locked="0"/>
    </xf>
    <xf numFmtId="9" fontId="49" fillId="0" borderId="0">
      <protection locked="0"/>
    </xf>
    <xf numFmtId="0" fontId="49" fillId="0" borderId="23">
      <protection locked="0"/>
    </xf>
    <xf numFmtId="0" fontId="49" fillId="0" borderId="23">
      <protection locked="0"/>
    </xf>
    <xf numFmtId="169" fontId="49" fillId="0" borderId="23">
      <protection locked="0"/>
    </xf>
  </cellStyleXfs>
  <cellXfs count="101">
    <xf numFmtId="0" fontId="0" fillId="0" borderId="0" xfId="0">
      <alignment vertical="center"/>
    </xf>
    <xf numFmtId="0" fontId="1" fillId="0" borderId="0" xfId="1" applyProtection="1"/>
    <xf numFmtId="0" fontId="2" fillId="0" borderId="0" xfId="0" applyFont="1" applyAlignment="1">
      <alignment horizontal="center"/>
    </xf>
    <xf numFmtId="0" fontId="3" fillId="0" borderId="0" xfId="0" applyFont="1">
      <alignment vertical="center"/>
    </xf>
    <xf numFmtId="0" fontId="6" fillId="0" borderId="0" xfId="0" applyFont="1">
      <alignment vertical="center"/>
    </xf>
    <xf numFmtId="164" fontId="10" fillId="3" borderId="6" xfId="3" applyNumberFormat="1" applyFont="1" applyFill="1" applyAlignment="1" applyProtection="1">
      <alignment horizontal="center" vertical="center"/>
    </xf>
    <xf numFmtId="0" fontId="11" fillId="0" borderId="0" xfId="2" applyFont="1" applyAlignment="1" applyProtection="1">
      <alignment vertical="center"/>
    </xf>
    <xf numFmtId="0" fontId="12" fillId="4" borderId="7" xfId="3" applyNumberFormat="1" applyFont="1" applyFill="1" applyBorder="1" applyAlignment="1" applyProtection="1">
      <alignment horizontal="center" vertical="center"/>
    </xf>
    <xf numFmtId="165" fontId="9" fillId="0" borderId="0" xfId="3" applyFont="1" applyBorder="1" applyAlignment="1" applyProtection="1">
      <alignment vertical="center"/>
    </xf>
    <xf numFmtId="0" fontId="7" fillId="0" borderId="0" xfId="0" applyFont="1">
      <alignment vertical="center"/>
    </xf>
    <xf numFmtId="0" fontId="13" fillId="0" borderId="0" xfId="0" applyFont="1" applyAlignment="1"/>
    <xf numFmtId="0" fontId="13" fillId="5" borderId="9" xfId="0" applyFont="1" applyFill="1" applyBorder="1" applyAlignment="1"/>
    <xf numFmtId="0" fontId="13" fillId="6" borderId="9" xfId="0" applyFont="1" applyFill="1" applyBorder="1" applyAlignment="1"/>
    <xf numFmtId="0" fontId="13" fillId="0" borderId="1" xfId="0" applyFont="1" applyBorder="1" applyAlignment="1"/>
    <xf numFmtId="164" fontId="10" fillId="7" borderId="11" xfId="3" applyNumberFormat="1" applyFont="1" applyFill="1" applyBorder="1" applyAlignment="1" applyProtection="1">
      <alignment horizontal="center" vertical="center"/>
    </xf>
    <xf numFmtId="0" fontId="15" fillId="0" borderId="12" xfId="0" applyFont="1" applyBorder="1" applyAlignment="1">
      <alignment horizontal="center" vertical="center"/>
    </xf>
    <xf numFmtId="0" fontId="16" fillId="0" borderId="0" xfId="0" applyFont="1" applyAlignment="1"/>
    <xf numFmtId="0" fontId="18" fillId="0" borderId="0" xfId="1" applyFont="1" applyAlignment="1" applyProtection="1">
      <alignment wrapText="1"/>
    </xf>
    <xf numFmtId="167" fontId="19" fillId="8" borderId="15" xfId="0" applyNumberFormat="1" applyFont="1" applyFill="1" applyBorder="1" applyAlignment="1">
      <alignment horizontal="center" vertical="center"/>
    </xf>
    <xf numFmtId="167" fontId="19" fillId="8" borderId="0" xfId="0" applyNumberFormat="1" applyFont="1" applyFill="1" applyAlignment="1">
      <alignment horizontal="center" vertical="center"/>
    </xf>
    <xf numFmtId="167" fontId="19" fillId="8" borderId="14" xfId="0" applyNumberFormat="1" applyFont="1" applyFill="1" applyBorder="1" applyAlignment="1">
      <alignment horizontal="center" vertical="center"/>
    </xf>
    <xf numFmtId="167" fontId="19" fillId="0" borderId="15" xfId="0" applyNumberFormat="1" applyFont="1" applyBorder="1" applyAlignment="1">
      <alignment horizontal="center" vertical="center"/>
    </xf>
    <xf numFmtId="167" fontId="19" fillId="0" borderId="0" xfId="0" applyNumberFormat="1" applyFont="1" applyAlignment="1">
      <alignment horizontal="center" vertical="center"/>
    </xf>
    <xf numFmtId="0" fontId="20" fillId="9" borderId="12" xfId="0" applyFont="1" applyFill="1" applyBorder="1" applyAlignment="1">
      <alignment horizontal="center" vertical="center" wrapText="1"/>
    </xf>
    <xf numFmtId="0" fontId="21" fillId="9" borderId="12" xfId="0" applyFont="1" applyFill="1" applyBorder="1" applyAlignment="1">
      <alignment horizontal="center" vertical="center" wrapText="1"/>
    </xf>
    <xf numFmtId="0" fontId="21" fillId="9" borderId="12" xfId="0" applyFont="1" applyFill="1" applyBorder="1" applyAlignment="1">
      <alignment horizontal="center" vertical="center"/>
    </xf>
    <xf numFmtId="0" fontId="22" fillId="9" borderId="12" xfId="0" applyFont="1" applyFill="1" applyBorder="1" applyAlignment="1">
      <alignment horizontal="center" vertical="center"/>
    </xf>
    <xf numFmtId="0" fontId="23" fillId="9" borderId="12" xfId="0" applyFont="1" applyFill="1" applyBorder="1" applyAlignment="1">
      <alignment horizontal="center" vertical="center" wrapText="1"/>
    </xf>
    <xf numFmtId="0" fontId="24" fillId="10" borderId="12" xfId="0" applyFont="1" applyFill="1" applyBorder="1" applyAlignment="1">
      <alignment horizontal="center" vertical="center" wrapText="1"/>
    </xf>
    <xf numFmtId="0" fontId="24" fillId="11" borderId="12" xfId="0" applyFont="1" applyFill="1" applyBorder="1" applyAlignment="1">
      <alignment horizontal="center" vertical="center" wrapText="1"/>
    </xf>
    <xf numFmtId="0" fontId="24" fillId="12" borderId="12" xfId="0" applyFont="1" applyFill="1" applyBorder="1" applyAlignment="1">
      <alignment horizontal="center" vertical="center" wrapText="1"/>
    </xf>
    <xf numFmtId="0" fontId="24" fillId="13" borderId="12"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27" fillId="14" borderId="17" xfId="0" applyFont="1" applyFill="1" applyBorder="1" applyAlignment="1">
      <alignment horizontal="center" vertical="center" shrinkToFit="1"/>
    </xf>
    <xf numFmtId="0" fontId="27" fillId="0" borderId="15" xfId="0" applyFont="1" applyBorder="1" applyAlignment="1">
      <alignment horizontal="center" vertical="center" shrinkToFit="1"/>
    </xf>
    <xf numFmtId="0" fontId="27" fillId="0" borderId="0" xfId="0" applyFont="1" applyAlignment="1">
      <alignment horizontal="center" vertical="center" shrinkToFit="1"/>
    </xf>
    <xf numFmtId="0" fontId="18" fillId="0" borderId="0" xfId="1" applyFont="1" applyProtection="1"/>
    <xf numFmtId="0" fontId="16" fillId="0" borderId="0" xfId="0" applyFont="1" applyAlignment="1">
      <alignment wrapText="1"/>
    </xf>
    <xf numFmtId="0" fontId="2" fillId="0" borderId="18" xfId="0" applyFont="1" applyBorder="1">
      <alignment vertical="center"/>
    </xf>
    <xf numFmtId="0" fontId="24" fillId="16" borderId="20" xfId="0" applyFont="1" applyFill="1" applyBorder="1" applyAlignment="1">
      <alignment horizontal="center" vertical="center"/>
    </xf>
    <xf numFmtId="9" fontId="29" fillId="17" borderId="20" xfId="4" applyFont="1" applyFill="1" applyBorder="1" applyAlignment="1" applyProtection="1">
      <alignment horizontal="center" vertical="center"/>
    </xf>
    <xf numFmtId="168" fontId="30" fillId="3" borderId="20" xfId="0" applyNumberFormat="1" applyFont="1" applyFill="1" applyBorder="1" applyAlignment="1">
      <alignment horizontal="center" vertical="center"/>
    </xf>
    <xf numFmtId="168" fontId="30" fillId="7" borderId="21" xfId="0" applyNumberFormat="1" applyFont="1" applyFill="1" applyBorder="1" applyAlignment="1">
      <alignment horizontal="center" vertical="center"/>
    </xf>
    <xf numFmtId="0" fontId="2" fillId="0" borderId="0" xfId="0" applyFont="1">
      <alignment vertical="center"/>
    </xf>
    <xf numFmtId="0" fontId="31" fillId="18" borderId="23" xfId="0" applyFont="1" applyFill="1" applyBorder="1" applyAlignment="1">
      <alignment horizontal="center" vertical="center"/>
    </xf>
    <xf numFmtId="0" fontId="32" fillId="18" borderId="23" xfId="0" applyFont="1" applyFill="1" applyBorder="1" applyAlignment="1">
      <alignment horizontal="center" vertical="center"/>
    </xf>
    <xf numFmtId="168" fontId="33" fillId="18" borderId="23" xfId="0" applyNumberFormat="1" applyFont="1" applyFill="1" applyBorder="1" applyAlignment="1">
      <alignment horizontal="center" vertical="center"/>
    </xf>
    <xf numFmtId="9" fontId="34" fillId="18" borderId="23" xfId="4" applyFont="1" applyFill="1" applyBorder="1" applyAlignment="1" applyProtection="1">
      <alignment horizontal="center" vertical="center"/>
    </xf>
    <xf numFmtId="168" fontId="35" fillId="18" borderId="23" xfId="0" applyNumberFormat="1" applyFont="1" applyFill="1" applyBorder="1" applyAlignment="1">
      <alignment horizontal="center" vertical="center"/>
    </xf>
    <xf numFmtId="168" fontId="15" fillId="18" borderId="23" xfId="0" applyNumberFormat="1" applyFont="1" applyFill="1" applyBorder="1" applyAlignment="1">
      <alignment horizontal="center" vertical="center"/>
    </xf>
    <xf numFmtId="0" fontId="36" fillId="0" borderId="23" xfId="0" applyFont="1" applyBorder="1" applyAlignment="1">
      <alignment horizontal="center" vertical="center"/>
    </xf>
    <xf numFmtId="0" fontId="37" fillId="0" borderId="23" xfId="0" applyFont="1" applyBorder="1" applyAlignment="1">
      <alignment horizontal="center" vertical="center"/>
    </xf>
    <xf numFmtId="0" fontId="38" fillId="19" borderId="23" xfId="5" applyFont="1" applyFill="1" applyAlignment="1" applyProtection="1">
      <alignment horizontal="center" vertical="center"/>
    </xf>
    <xf numFmtId="0" fontId="39" fillId="19" borderId="23" xfId="5" applyFont="1" applyFill="1" applyAlignment="1" applyProtection="1">
      <alignment horizontal="center" vertical="center"/>
    </xf>
    <xf numFmtId="0" fontId="39" fillId="19" borderId="23" xfId="6" applyFont="1" applyFill="1" applyAlignment="1" applyProtection="1">
      <alignment horizontal="center" vertical="center" wrapText="1"/>
    </xf>
    <xf numFmtId="0" fontId="40" fillId="19" borderId="23" xfId="6" applyFont="1" applyFill="1" applyAlignment="1" applyProtection="1">
      <alignment horizontal="center" vertical="center"/>
    </xf>
    <xf numFmtId="9" fontId="41" fillId="19" borderId="23" xfId="4" applyFont="1" applyFill="1" applyBorder="1" applyAlignment="1" applyProtection="1">
      <alignment horizontal="center" vertical="center"/>
    </xf>
    <xf numFmtId="168" fontId="16" fillId="19" borderId="23" xfId="7" applyNumberFormat="1" applyFont="1" applyFill="1" applyAlignment="1" applyProtection="1">
      <alignment horizontal="center" vertical="center"/>
    </xf>
    <xf numFmtId="0" fontId="39" fillId="19" borderId="23" xfId="6" applyFont="1" applyFill="1" applyAlignment="1" applyProtection="1">
      <alignment horizontal="center" vertical="center"/>
    </xf>
    <xf numFmtId="0" fontId="2" fillId="0" borderId="18" xfId="0" applyFont="1" applyBorder="1" applyAlignment="1">
      <alignment horizontal="right" vertical="center"/>
    </xf>
    <xf numFmtId="0" fontId="2" fillId="0" borderId="23" xfId="0" applyFont="1" applyBorder="1">
      <alignment vertical="center"/>
    </xf>
    <xf numFmtId="0" fontId="42" fillId="19" borderId="23" xfId="6" applyFont="1" applyFill="1" applyAlignment="1" applyProtection="1">
      <alignment horizontal="center" vertical="center" wrapText="1"/>
    </xf>
    <xf numFmtId="0" fontId="33" fillId="18" borderId="23" xfId="0" applyFont="1" applyFill="1" applyBorder="1" applyAlignment="1">
      <alignment horizontal="center" vertical="center"/>
    </xf>
    <xf numFmtId="9" fontId="43" fillId="19" borderId="23" xfId="4" applyFont="1" applyFill="1" applyBorder="1" applyAlignment="1" applyProtection="1">
      <alignment horizontal="center" vertical="center"/>
    </xf>
    <xf numFmtId="0" fontId="44" fillId="0" borderId="0" xfId="5" applyFont="1" applyBorder="1" applyAlignment="1" applyProtection="1">
      <alignment vertical="center"/>
    </xf>
    <xf numFmtId="0" fontId="44" fillId="0" borderId="0" xfId="5" applyFont="1" applyBorder="1" applyAlignment="1" applyProtection="1">
      <alignment horizontal="center" vertical="center"/>
    </xf>
    <xf numFmtId="0" fontId="46" fillId="0" borderId="0" xfId="0" applyFont="1" applyAlignment="1"/>
    <xf numFmtId="0" fontId="47" fillId="0" borderId="0" xfId="1" applyFont="1" applyAlignment="1" applyProtection="1">
      <alignment vertical="center"/>
    </xf>
    <xf numFmtId="0" fontId="31" fillId="18" borderId="24" xfId="0" applyFont="1" applyFill="1" applyBorder="1" applyAlignment="1">
      <alignment horizontal="center" vertical="center"/>
    </xf>
    <xf numFmtId="0" fontId="44" fillId="19" borderId="0" xfId="5" applyFont="1" applyFill="1" applyBorder="1" applyAlignment="1" applyProtection="1">
      <alignment horizontal="center" vertical="center"/>
    </xf>
    <xf numFmtId="0" fontId="45" fillId="19" borderId="0" xfId="5" applyFont="1" applyFill="1" applyBorder="1" applyAlignment="1" applyProtection="1">
      <alignment horizontal="center" vertical="center"/>
    </xf>
    <xf numFmtId="0" fontId="4" fillId="0" borderId="0" xfId="1" applyFont="1" applyAlignment="1" applyProtection="1">
      <alignment horizontal="center" vertical="center"/>
    </xf>
    <xf numFmtId="0" fontId="4" fillId="0" borderId="1" xfId="1" applyFont="1" applyBorder="1" applyAlignment="1" applyProtection="1">
      <alignment horizontal="center" vertical="center"/>
    </xf>
    <xf numFmtId="166" fontId="17" fillId="0" borderId="0" xfId="0" applyNumberFormat="1" applyFont="1" applyAlignment="1">
      <alignment horizontal="left" vertical="center" wrapText="1" indent="1"/>
    </xf>
    <xf numFmtId="0" fontId="5" fillId="0" borderId="0" xfId="0" applyFont="1" applyAlignment="1">
      <alignment horizontal="right" vertical="center"/>
    </xf>
    <xf numFmtId="0" fontId="31" fillId="18" borderId="23"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4" fillId="0" borderId="0" xfId="2" applyFont="1" applyAlignment="1" applyProtection="1">
      <alignment horizontal="left" vertical="center"/>
    </xf>
    <xf numFmtId="0" fontId="31" fillId="18" borderId="22" xfId="0" applyFont="1" applyFill="1" applyBorder="1" applyAlignment="1">
      <alignment horizontal="center" vertical="center"/>
    </xf>
    <xf numFmtId="0" fontId="28" fillId="15" borderId="19" xfId="0" applyFont="1" applyFill="1" applyBorder="1" applyAlignment="1">
      <alignment horizontal="center" vertical="center"/>
    </xf>
    <xf numFmtId="0" fontId="28" fillId="15" borderId="20" xfId="0" applyFont="1" applyFill="1" applyBorder="1" applyAlignment="1">
      <alignment horizontal="center" vertical="center"/>
    </xf>
    <xf numFmtId="166" fontId="17" fillId="8" borderId="15" xfId="0" applyNumberFormat="1" applyFont="1" applyFill="1" applyBorder="1" applyAlignment="1">
      <alignment horizontal="left" vertical="center" wrapText="1" indent="1"/>
    </xf>
    <xf numFmtId="166" fontId="17" fillId="8" borderId="0" xfId="0" applyNumberFormat="1" applyFont="1" applyFill="1" applyAlignment="1">
      <alignment horizontal="left" vertical="center" wrapText="1" indent="1"/>
    </xf>
    <xf numFmtId="166" fontId="17" fillId="8" borderId="14" xfId="0" applyNumberFormat="1" applyFont="1" applyFill="1" applyBorder="1" applyAlignment="1">
      <alignment horizontal="left" vertical="center" wrapText="1" indent="1"/>
    </xf>
    <xf numFmtId="166" fontId="17" fillId="8" borderId="13" xfId="0" applyNumberFormat="1" applyFont="1" applyFill="1" applyBorder="1" applyAlignment="1">
      <alignment horizontal="left" vertical="center" wrapText="1" indent="1"/>
    </xf>
    <xf numFmtId="166" fontId="17" fillId="8" borderId="12" xfId="0" applyNumberFormat="1" applyFont="1" applyFill="1" applyBorder="1" applyAlignment="1">
      <alignment horizontal="left" vertical="center" wrapText="1" indent="1"/>
    </xf>
    <xf numFmtId="166" fontId="17" fillId="8" borderId="16" xfId="0" applyNumberFormat="1" applyFont="1" applyFill="1" applyBorder="1" applyAlignment="1">
      <alignment horizontal="left" vertical="center" wrapText="1" indent="1"/>
    </xf>
    <xf numFmtId="166" fontId="17" fillId="0" borderId="15" xfId="0" applyNumberFormat="1" applyFont="1" applyBorder="1" applyAlignment="1">
      <alignment horizontal="left" vertical="center" wrapText="1" indent="1"/>
    </xf>
    <xf numFmtId="0" fontId="7" fillId="2" borderId="0" xfId="0" applyFont="1" applyFill="1" applyAlignment="1">
      <alignment horizontal="center" vertical="center"/>
    </xf>
    <xf numFmtId="0" fontId="7" fillId="2" borderId="2" xfId="0" applyFont="1" applyFill="1" applyBorder="1" applyAlignment="1">
      <alignment horizontal="center" vertical="center"/>
    </xf>
    <xf numFmtId="0" fontId="7" fillId="0" borderId="10" xfId="0" applyFont="1" applyBorder="1" applyAlignment="1">
      <alignment horizontal="center" vertical="center"/>
    </xf>
    <xf numFmtId="0" fontId="7" fillId="0" borderId="0" xfId="0" applyFont="1" applyAlignment="1">
      <alignment horizontal="center" vertical="center"/>
    </xf>
    <xf numFmtId="0" fontId="7" fillId="0" borderId="8" xfId="0" applyFont="1" applyBorder="1" applyAlignment="1">
      <alignment horizontal="center" vertical="center"/>
    </xf>
    <xf numFmtId="0" fontId="8" fillId="0" borderId="5" xfId="0" applyFont="1" applyBorder="1" applyAlignment="1">
      <alignment horizontal="center" vertical="center"/>
    </xf>
    <xf numFmtId="0" fontId="7" fillId="2" borderId="5" xfId="0" applyFont="1" applyFill="1" applyBorder="1" applyAlignment="1">
      <alignment horizontal="center" vertical="center"/>
    </xf>
    <xf numFmtId="0" fontId="9" fillId="3" borderId="6" xfId="2" applyFont="1" applyFill="1" applyBorder="1" applyAlignment="1" applyProtection="1">
      <alignment horizontal="center" vertical="center"/>
    </xf>
    <xf numFmtId="0" fontId="16" fillId="0" borderId="1" xfId="0" applyFont="1" applyBorder="1" applyAlignment="1"/>
    <xf numFmtId="0" fontId="11" fillId="4" borderId="7" xfId="2" applyFont="1" applyFill="1" applyBorder="1" applyAlignment="1" applyProtection="1">
      <alignment horizontal="center" vertical="center"/>
    </xf>
    <xf numFmtId="0" fontId="9" fillId="7" borderId="6" xfId="2" applyFont="1" applyFill="1" applyBorder="1" applyAlignment="1" applyProtection="1">
      <alignment horizontal="center" vertical="center"/>
    </xf>
  </cellXfs>
  <cellStyles count="8">
    <cellStyle name="Date" xfId="7" xr:uid="{00000000-0005-0000-0000-000007000000}"/>
    <cellStyle name="Heading 3" xfId="2" xr:uid="{00000000-0005-0000-0000-000002000000}"/>
    <cellStyle name="Name" xfId="6" xr:uid="{00000000-0005-0000-0000-000006000000}"/>
    <cellStyle name="Normal" xfId="0" builtinId="0"/>
    <cellStyle name="Percent" xfId="4" builtinId="5"/>
    <cellStyle name="Project Start" xfId="3" xr:uid="{00000000-0005-0000-0000-000003000000}"/>
    <cellStyle name="Task" xfId="5" xr:uid="{00000000-0005-0000-0000-000005000000}"/>
    <cellStyle name="zHiddenText" xfId="1" xr:uid="{00000000-0005-0000-0000-000001000000}"/>
  </cellStyles>
  <dxfs count="13">
    <dxf>
      <border>
        <left style="thin">
          <color rgb="FFC00000"/>
        </left>
        <right style="thin">
          <color rgb="FFC00000"/>
        </right>
        <top/>
        <bottom/>
      </border>
    </dxf>
    <dxf>
      <fill>
        <patternFill>
          <bgColor rgb="FFBFBFBF"/>
        </patternFill>
      </fill>
      <border>
        <left/>
        <right/>
        <top/>
        <bottom/>
      </border>
    </dxf>
    <dxf>
      <fill>
        <patternFill>
          <bgColor rgb="FF7030A0"/>
        </patternFill>
      </fill>
    </dxf>
    <dxf>
      <border>
        <left style="thin">
          <color rgb="FFC00000"/>
        </left>
        <right style="thin">
          <color rgb="FFC00000"/>
        </right>
        <top/>
        <bottom/>
      </border>
    </dxf>
    <dxf>
      <border>
        <left style="thin">
          <color rgb="FFBFBFBF"/>
        </left>
        <right/>
        <top/>
        <bottom/>
      </border>
    </dxf>
    <dxf>
      <border>
        <left style="thin">
          <color rgb="FFBFBFBF"/>
        </left>
        <right/>
        <top/>
        <bottom/>
      </border>
    </dxf>
    <dxf>
      <border>
        <left/>
        <right/>
        <top style="thin">
          <color rgb="FF96B3D7"/>
        </top>
        <bottom/>
      </border>
    </dxf>
    <dxf>
      <fill>
        <patternFill>
          <bgColor rgb="FFF2F2F2"/>
        </patternFill>
      </fill>
      <border>
        <left/>
        <right/>
        <top style="thin">
          <color rgb="FF96B3D7"/>
        </top>
        <bottom/>
      </border>
    </dxf>
    <dxf>
      <font>
        <b/>
        <color rgb="FF000000"/>
      </font>
    </dxf>
    <dxf>
      <font>
        <color rgb="FF000000"/>
      </font>
      <border>
        <left style="thin">
          <color rgb="FF5181BD"/>
        </left>
        <right/>
        <top/>
        <bottom/>
      </border>
    </dxf>
    <dxf>
      <font>
        <b/>
        <color rgb="FF000000"/>
      </font>
      <border>
        <left/>
        <right/>
        <top style="double">
          <color rgb="FF5181BD"/>
        </top>
        <bottom/>
      </border>
    </dxf>
    <dxf>
      <font>
        <b/>
        <color rgb="FFFFFFFF"/>
      </font>
      <fill>
        <patternFill patternType="solid">
          <fgColor rgb="FF5181BD"/>
          <bgColor rgb="FF5181BD"/>
        </patternFill>
      </fill>
    </dxf>
    <dxf>
      <font>
        <color rgb="FF000000"/>
      </font>
      <border>
        <left style="thin">
          <color rgb="FF5181BD"/>
        </left>
        <right style="thin">
          <color rgb="FF5181BD"/>
        </right>
        <top style="thin">
          <color rgb="FF5181BD"/>
        </top>
        <bottom style="thin">
          <color rgb="FF5181BD"/>
        </bottom>
      </border>
    </dxf>
  </dxfs>
  <tableStyles count="1" defaultTableStyle="TableStyleMedium2" defaultPivotStyle="PivotStyleLight16">
    <tableStyle name="ToDoList"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0/cellImage" Target="NUL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S66"/>
  <sheetViews>
    <sheetView showGridLines="0" rightToLeft="1" tabSelected="1" zoomScale="55" zoomScaleNormal="55" workbookViewId="0">
      <pane ySplit="6" topLeftCell="A30" activePane="bottomLeft" state="frozen"/>
      <selection pane="bottomLeft" activeCell="H45" sqref="H45"/>
    </sheetView>
  </sheetViews>
  <sheetFormatPr defaultColWidth="10" defaultRowHeight="30" customHeight="1"/>
  <cols>
    <col min="1" max="1" width="9.296875" customWidth="1"/>
    <col min="2" max="2" width="13.3984375" style="1" customWidth="1"/>
    <col min="3" max="3" width="4.296875" customWidth="1"/>
    <col min="4" max="4" width="75.3984375" customWidth="1"/>
    <col min="5" max="5" width="12.8984375" customWidth="1"/>
    <col min="6" max="6" width="8" customWidth="1"/>
    <col min="7" max="7" width="12.69921875" customWidth="1"/>
    <col min="8" max="8" width="13.69921875" style="2" customWidth="1"/>
    <col min="9" max="9" width="14.69921875" customWidth="1"/>
    <col min="10" max="10" width="1.8984375" customWidth="1"/>
    <col min="11" max="11" width="6.09765625" hidden="1" customWidth="1"/>
    <col min="12" max="67" width="2.69921875" customWidth="1"/>
    <col min="72" max="73" width="10.296875"/>
  </cols>
  <sheetData>
    <row r="1" spans="1:123" ht="21" customHeight="1">
      <c r="A1" s="3"/>
      <c r="B1" s="72" t="s">
        <v>14</v>
      </c>
      <c r="C1" s="72"/>
      <c r="D1" s="72"/>
      <c r="E1" s="75" t="s">
        <v>38</v>
      </c>
      <c r="F1" s="75"/>
      <c r="G1" s="75"/>
      <c r="H1" s="75"/>
      <c r="I1" s="75"/>
      <c r="J1" s="4"/>
      <c r="K1" s="4"/>
      <c r="L1" s="4"/>
      <c r="M1" s="4"/>
      <c r="N1" s="4"/>
      <c r="O1" s="4"/>
      <c r="P1" s="4"/>
      <c r="Q1" s="4"/>
      <c r="R1" s="4"/>
      <c r="S1" s="4"/>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spans="1:123" ht="35.25" customHeight="1">
      <c r="A2" s="3"/>
      <c r="B2" s="73"/>
      <c r="C2" s="73"/>
      <c r="D2" s="73"/>
      <c r="E2" s="75"/>
      <c r="F2" s="75"/>
      <c r="G2" s="75"/>
      <c r="H2" s="75"/>
      <c r="I2" s="75"/>
      <c r="J2" s="4"/>
      <c r="K2" s="4"/>
      <c r="L2" s="4"/>
      <c r="M2" s="4"/>
      <c r="N2" s="4"/>
      <c r="O2" s="4"/>
      <c r="P2" s="4"/>
      <c r="Q2" s="4"/>
      <c r="R2" s="4"/>
      <c r="S2" s="90" t="s">
        <v>18</v>
      </c>
      <c r="T2" s="90"/>
      <c r="U2" s="90"/>
      <c r="V2" s="90"/>
      <c r="W2" s="90"/>
      <c r="X2" s="90"/>
      <c r="Y2" s="90"/>
      <c r="Z2" s="90"/>
      <c r="AA2" s="90"/>
      <c r="AB2" s="90"/>
      <c r="AC2" s="90"/>
      <c r="AD2" s="91"/>
      <c r="AE2" s="77"/>
      <c r="AF2" s="78"/>
      <c r="AI2" s="96" t="s">
        <v>19</v>
      </c>
      <c r="AJ2" s="96"/>
      <c r="AK2" s="96"/>
      <c r="AL2" s="96"/>
      <c r="AM2" s="96"/>
      <c r="AN2" s="96"/>
      <c r="AO2" s="96"/>
      <c r="AP2" s="96"/>
      <c r="AQ2" s="96"/>
      <c r="AR2" s="96"/>
      <c r="AS2" s="96"/>
      <c r="AT2" s="95"/>
      <c r="AU2" s="95"/>
      <c r="AV2" s="3"/>
      <c r="AW2" s="3"/>
      <c r="AX2" s="3"/>
      <c r="AY2" s="3"/>
      <c r="AZ2" s="3"/>
    </row>
    <row r="3" spans="1:123" ht="30" customHeight="1">
      <c r="A3" s="97" t="s">
        <v>17</v>
      </c>
      <c r="B3" s="97"/>
      <c r="C3" s="97"/>
      <c r="D3" s="5">
        <v>45971</v>
      </c>
      <c r="E3" s="6"/>
      <c r="F3" s="99" t="s">
        <v>12</v>
      </c>
      <c r="G3" s="99"/>
      <c r="H3" s="7">
        <v>10</v>
      </c>
      <c r="I3" s="8" t="s">
        <v>39</v>
      </c>
      <c r="J3" s="9"/>
      <c r="K3" s="9"/>
      <c r="L3" s="9"/>
      <c r="M3" s="9"/>
      <c r="N3" s="9"/>
      <c r="O3" s="9"/>
      <c r="P3" s="9"/>
      <c r="Q3" s="9"/>
      <c r="R3" s="9"/>
      <c r="S3" s="9"/>
      <c r="T3" s="9"/>
      <c r="U3" s="10"/>
      <c r="V3" s="93" t="s">
        <v>10</v>
      </c>
      <c r="W3" s="93"/>
      <c r="X3" s="93"/>
      <c r="Y3" s="93"/>
      <c r="Z3" s="93"/>
      <c r="AA3" s="93"/>
      <c r="AB3" s="93"/>
      <c r="AC3" s="93"/>
      <c r="AD3" s="94"/>
      <c r="AE3" s="11"/>
      <c r="AF3" s="92" t="s">
        <v>9</v>
      </c>
      <c r="AG3" s="93"/>
      <c r="AH3" s="93"/>
      <c r="AI3" s="93"/>
      <c r="AJ3" s="93"/>
      <c r="AK3" s="93"/>
      <c r="AL3" s="93"/>
      <c r="AM3" s="94"/>
      <c r="AN3" s="12"/>
      <c r="AO3" s="13"/>
      <c r="AP3" s="13"/>
      <c r="AQ3" s="13"/>
      <c r="AR3" s="13"/>
      <c r="AS3" s="3"/>
      <c r="AT3" s="3"/>
      <c r="AU3" s="3"/>
      <c r="AV3" s="3"/>
      <c r="AW3" s="3"/>
      <c r="AX3" s="3"/>
      <c r="AY3" s="3"/>
      <c r="AZ3" s="3"/>
    </row>
    <row r="4" spans="1:123" ht="30" customHeight="1">
      <c r="A4" s="100" t="s">
        <v>20</v>
      </c>
      <c r="B4" s="100"/>
      <c r="C4" s="100"/>
      <c r="D4" s="14">
        <v>45677</v>
      </c>
      <c r="E4" s="79" t="s">
        <v>11</v>
      </c>
      <c r="F4" s="79"/>
      <c r="G4" s="79"/>
      <c r="H4" s="15">
        <v>1</v>
      </c>
      <c r="I4" s="16"/>
      <c r="J4" s="16"/>
      <c r="L4" s="86">
        <f>L5</f>
        <v>45971</v>
      </c>
      <c r="M4" s="87"/>
      <c r="N4" s="87"/>
      <c r="O4" s="87"/>
      <c r="P4" s="87"/>
      <c r="Q4" s="84"/>
      <c r="R4" s="85"/>
      <c r="S4" s="83">
        <f>S5</f>
        <v>45978</v>
      </c>
      <c r="T4" s="84"/>
      <c r="U4" s="84"/>
      <c r="V4" s="84"/>
      <c r="W4" s="84"/>
      <c r="X4" s="84"/>
      <c r="Y4" s="85"/>
      <c r="Z4" s="83">
        <f>Z5</f>
        <v>45985</v>
      </c>
      <c r="AA4" s="84"/>
      <c r="AB4" s="84"/>
      <c r="AC4" s="84"/>
      <c r="AD4" s="84"/>
      <c r="AE4" s="84"/>
      <c r="AF4" s="85"/>
      <c r="AG4" s="83">
        <f>AG5</f>
        <v>45992</v>
      </c>
      <c r="AH4" s="84"/>
      <c r="AI4" s="84"/>
      <c r="AJ4" s="84"/>
      <c r="AK4" s="84"/>
      <c r="AL4" s="84"/>
      <c r="AM4" s="85"/>
      <c r="AN4" s="83">
        <f>AN5</f>
        <v>45999</v>
      </c>
      <c r="AO4" s="84"/>
      <c r="AP4" s="87"/>
      <c r="AQ4" s="87"/>
      <c r="AR4" s="87"/>
      <c r="AS4" s="87"/>
      <c r="AT4" s="88"/>
      <c r="AU4" s="86">
        <f>AU5</f>
        <v>46006</v>
      </c>
      <c r="AV4" s="87"/>
      <c r="AW4" s="87"/>
      <c r="AX4" s="87"/>
      <c r="AY4" s="87"/>
      <c r="AZ4" s="87"/>
      <c r="BA4" s="88"/>
      <c r="BB4" s="86">
        <f>BB5</f>
        <v>46013</v>
      </c>
      <c r="BC4" s="87"/>
      <c r="BD4" s="87"/>
      <c r="BE4" s="87"/>
      <c r="BF4" s="87"/>
      <c r="BG4" s="87"/>
      <c r="BH4" s="88"/>
      <c r="BI4" s="86">
        <f>BI5</f>
        <v>46020</v>
      </c>
      <c r="BJ4" s="87"/>
      <c r="BK4" s="87"/>
      <c r="BL4" s="87"/>
      <c r="BM4" s="87"/>
      <c r="BN4" s="87"/>
      <c r="BO4" s="88"/>
      <c r="BP4" s="89"/>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row>
    <row r="5" spans="1:123" ht="15" customHeight="1">
      <c r="B5" s="17" t="s">
        <v>2</v>
      </c>
      <c r="C5" s="98"/>
      <c r="D5" s="98"/>
      <c r="E5" s="98"/>
      <c r="F5" s="98"/>
      <c r="G5" s="98"/>
      <c r="H5" s="98"/>
      <c r="I5" s="98"/>
      <c r="J5" s="98"/>
      <c r="L5" s="18">
        <f>Project_Start-WEEKDAY(Project_Start,1)+2+7*(Display_Week-1)</f>
        <v>45971</v>
      </c>
      <c r="M5" s="19">
        <f>L5+1</f>
        <v>45972</v>
      </c>
      <c r="N5" s="19">
        <f t="shared" ref="N5:BA5" si="0">M5+1</f>
        <v>45973</v>
      </c>
      <c r="O5" s="19">
        <f t="shared" si="0"/>
        <v>45974</v>
      </c>
      <c r="P5" s="19">
        <f t="shared" si="0"/>
        <v>45975</v>
      </c>
      <c r="Q5" s="19">
        <f t="shared" si="0"/>
        <v>45976</v>
      </c>
      <c r="R5" s="20">
        <f t="shared" si="0"/>
        <v>45977</v>
      </c>
      <c r="S5" s="18">
        <f>R5+1</f>
        <v>45978</v>
      </c>
      <c r="T5" s="19">
        <f>S5+1</f>
        <v>45979</v>
      </c>
      <c r="U5" s="19">
        <f t="shared" si="0"/>
        <v>45980</v>
      </c>
      <c r="V5" s="19">
        <f t="shared" si="0"/>
        <v>45981</v>
      </c>
      <c r="W5" s="19">
        <f t="shared" si="0"/>
        <v>45982</v>
      </c>
      <c r="X5" s="19">
        <f t="shared" si="0"/>
        <v>45983</v>
      </c>
      <c r="Y5" s="20">
        <f t="shared" si="0"/>
        <v>45984</v>
      </c>
      <c r="Z5" s="18">
        <f>Y5+1</f>
        <v>45985</v>
      </c>
      <c r="AA5" s="19">
        <f>Z5+1</f>
        <v>45986</v>
      </c>
      <c r="AB5" s="19">
        <f t="shared" si="0"/>
        <v>45987</v>
      </c>
      <c r="AC5" s="19">
        <f t="shared" si="0"/>
        <v>45988</v>
      </c>
      <c r="AD5" s="19">
        <f t="shared" si="0"/>
        <v>45989</v>
      </c>
      <c r="AE5" s="19">
        <f t="shared" si="0"/>
        <v>45990</v>
      </c>
      <c r="AF5" s="20">
        <f t="shared" si="0"/>
        <v>45991</v>
      </c>
      <c r="AG5" s="18">
        <f>AF5+1</f>
        <v>45992</v>
      </c>
      <c r="AH5" s="19">
        <f>AG5+1</f>
        <v>45993</v>
      </c>
      <c r="AI5" s="19">
        <f t="shared" si="0"/>
        <v>45994</v>
      </c>
      <c r="AJ5" s="19">
        <f t="shared" si="0"/>
        <v>45995</v>
      </c>
      <c r="AK5" s="19">
        <f t="shared" si="0"/>
        <v>45996</v>
      </c>
      <c r="AL5" s="19">
        <f t="shared" si="0"/>
        <v>45997</v>
      </c>
      <c r="AM5" s="20">
        <f t="shared" si="0"/>
        <v>45998</v>
      </c>
      <c r="AN5" s="18">
        <f>AM5+1</f>
        <v>45999</v>
      </c>
      <c r="AO5" s="19">
        <f>AN5+1</f>
        <v>46000</v>
      </c>
      <c r="AP5" s="19">
        <f t="shared" si="0"/>
        <v>46001</v>
      </c>
      <c r="AQ5" s="19">
        <f t="shared" si="0"/>
        <v>46002</v>
      </c>
      <c r="AR5" s="19">
        <f t="shared" si="0"/>
        <v>46003</v>
      </c>
      <c r="AS5" s="19">
        <f t="shared" si="0"/>
        <v>46004</v>
      </c>
      <c r="AT5" s="20">
        <f t="shared" si="0"/>
        <v>46005</v>
      </c>
      <c r="AU5" s="18">
        <f>AT5+1</f>
        <v>46006</v>
      </c>
      <c r="AV5" s="19">
        <f>AU5+1</f>
        <v>46007</v>
      </c>
      <c r="AW5" s="19">
        <f t="shared" si="0"/>
        <v>46008</v>
      </c>
      <c r="AX5" s="19">
        <f t="shared" si="0"/>
        <v>46009</v>
      </c>
      <c r="AY5" s="19">
        <f t="shared" si="0"/>
        <v>46010</v>
      </c>
      <c r="AZ5" s="19">
        <f t="shared" si="0"/>
        <v>46011</v>
      </c>
      <c r="BA5" s="20">
        <f t="shared" si="0"/>
        <v>46012</v>
      </c>
      <c r="BB5" s="18">
        <f>BA5+1</f>
        <v>46013</v>
      </c>
      <c r="BC5" s="19">
        <f>BB5+1</f>
        <v>46014</v>
      </c>
      <c r="BD5" s="19">
        <f t="shared" ref="BD5:BH5" si="1">BC5+1</f>
        <v>46015</v>
      </c>
      <c r="BE5" s="19">
        <f t="shared" si="1"/>
        <v>46016</v>
      </c>
      <c r="BF5" s="19">
        <f t="shared" si="1"/>
        <v>46017</v>
      </c>
      <c r="BG5" s="19">
        <f t="shared" si="1"/>
        <v>46018</v>
      </c>
      <c r="BH5" s="20">
        <f t="shared" si="1"/>
        <v>46019</v>
      </c>
      <c r="BI5" s="18">
        <f>BH5+1</f>
        <v>46020</v>
      </c>
      <c r="BJ5" s="19">
        <f>BI5+1</f>
        <v>46021</v>
      </c>
      <c r="BK5" s="19">
        <f t="shared" ref="BK5:BO5" si="2">BJ5+1</f>
        <v>46022</v>
      </c>
      <c r="BL5" s="19">
        <f t="shared" si="2"/>
        <v>46023</v>
      </c>
      <c r="BM5" s="19">
        <f t="shared" si="2"/>
        <v>46024</v>
      </c>
      <c r="BN5" s="19">
        <f t="shared" si="2"/>
        <v>46025</v>
      </c>
      <c r="BO5" s="20">
        <f t="shared" si="2"/>
        <v>46026</v>
      </c>
      <c r="BP5" s="21"/>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row>
    <row r="6" spans="1:123" ht="52.5" customHeight="1" thickBot="1">
      <c r="A6" s="23" t="s">
        <v>7</v>
      </c>
      <c r="B6" s="24" t="s">
        <v>6</v>
      </c>
      <c r="C6" s="25" t="s">
        <v>8</v>
      </c>
      <c r="D6" s="26" t="s">
        <v>16</v>
      </c>
      <c r="E6" s="27" t="s">
        <v>22</v>
      </c>
      <c r="F6" s="28" t="s">
        <v>12</v>
      </c>
      <c r="G6" s="29" t="s">
        <v>3</v>
      </c>
      <c r="H6" s="30" t="s">
        <v>4</v>
      </c>
      <c r="I6" s="31" t="s">
        <v>5</v>
      </c>
      <c r="J6" s="32"/>
      <c r="K6" s="33" t="s">
        <v>0</v>
      </c>
      <c r="L6" s="34" t="str">
        <f t="shared" ref="L6" si="3">LEFT(TEXT(L5,"ddd"),1)</f>
        <v>M</v>
      </c>
      <c r="M6" s="34" t="str">
        <f t="shared" ref="M6:AU6" si="4">LEFT(TEXT(M5,"ddd"),1)</f>
        <v>T</v>
      </c>
      <c r="N6" s="34" t="str">
        <f t="shared" si="4"/>
        <v>W</v>
      </c>
      <c r="O6" s="34" t="str">
        <f t="shared" si="4"/>
        <v>T</v>
      </c>
      <c r="P6" s="34" t="str">
        <f t="shared" si="4"/>
        <v>F</v>
      </c>
      <c r="Q6" s="34" t="str">
        <f t="shared" si="4"/>
        <v>S</v>
      </c>
      <c r="R6" s="34" t="str">
        <f t="shared" si="4"/>
        <v>S</v>
      </c>
      <c r="S6" s="34" t="str">
        <f t="shared" si="4"/>
        <v>M</v>
      </c>
      <c r="T6" s="34" t="str">
        <f t="shared" si="4"/>
        <v>T</v>
      </c>
      <c r="U6" s="34" t="str">
        <f t="shared" si="4"/>
        <v>W</v>
      </c>
      <c r="V6" s="34" t="str">
        <f t="shared" si="4"/>
        <v>T</v>
      </c>
      <c r="W6" s="34" t="str">
        <f t="shared" si="4"/>
        <v>F</v>
      </c>
      <c r="X6" s="34" t="str">
        <f t="shared" si="4"/>
        <v>S</v>
      </c>
      <c r="Y6" s="34" t="str">
        <f t="shared" si="4"/>
        <v>S</v>
      </c>
      <c r="Z6" s="34" t="str">
        <f t="shared" si="4"/>
        <v>M</v>
      </c>
      <c r="AA6" s="34" t="str">
        <f t="shared" si="4"/>
        <v>T</v>
      </c>
      <c r="AB6" s="34" t="str">
        <f t="shared" si="4"/>
        <v>W</v>
      </c>
      <c r="AC6" s="34" t="str">
        <f t="shared" si="4"/>
        <v>T</v>
      </c>
      <c r="AD6" s="34" t="str">
        <f t="shared" si="4"/>
        <v>F</v>
      </c>
      <c r="AE6" s="34" t="str">
        <f t="shared" si="4"/>
        <v>S</v>
      </c>
      <c r="AF6" s="34" t="str">
        <f t="shared" si="4"/>
        <v>S</v>
      </c>
      <c r="AG6" s="34" t="str">
        <f t="shared" si="4"/>
        <v>M</v>
      </c>
      <c r="AH6" s="34" t="str">
        <f t="shared" si="4"/>
        <v>T</v>
      </c>
      <c r="AI6" s="34" t="str">
        <f t="shared" si="4"/>
        <v>W</v>
      </c>
      <c r="AJ6" s="34" t="str">
        <f t="shared" si="4"/>
        <v>T</v>
      </c>
      <c r="AK6" s="34" t="str">
        <f t="shared" si="4"/>
        <v>F</v>
      </c>
      <c r="AL6" s="34" t="str">
        <f t="shared" si="4"/>
        <v>S</v>
      </c>
      <c r="AM6" s="34" t="str">
        <f t="shared" si="4"/>
        <v>S</v>
      </c>
      <c r="AN6" s="34" t="str">
        <f t="shared" si="4"/>
        <v>M</v>
      </c>
      <c r="AO6" s="34" t="str">
        <f t="shared" si="4"/>
        <v>T</v>
      </c>
      <c r="AP6" s="34" t="str">
        <f t="shared" si="4"/>
        <v>W</v>
      </c>
      <c r="AQ6" s="34" t="str">
        <f t="shared" si="4"/>
        <v>T</v>
      </c>
      <c r="AR6" s="34" t="str">
        <f t="shared" si="4"/>
        <v>F</v>
      </c>
      <c r="AS6" s="34" t="str">
        <f t="shared" si="4"/>
        <v>S</v>
      </c>
      <c r="AT6" s="34" t="str">
        <f t="shared" si="4"/>
        <v>S</v>
      </c>
      <c r="AU6" s="34" t="str">
        <f t="shared" si="4"/>
        <v>M</v>
      </c>
      <c r="AV6" s="34" t="str">
        <f t="shared" ref="AV6:BO6" si="5">LEFT(TEXT(AV5,"ddd"),1)</f>
        <v>T</v>
      </c>
      <c r="AW6" s="34" t="str">
        <f t="shared" si="5"/>
        <v>W</v>
      </c>
      <c r="AX6" s="34" t="str">
        <f t="shared" si="5"/>
        <v>T</v>
      </c>
      <c r="AY6" s="34" t="str">
        <f t="shared" si="5"/>
        <v>F</v>
      </c>
      <c r="AZ6" s="34" t="str">
        <f t="shared" si="5"/>
        <v>S</v>
      </c>
      <c r="BA6" s="34" t="str">
        <f t="shared" si="5"/>
        <v>S</v>
      </c>
      <c r="BB6" s="34" t="str">
        <f t="shared" si="5"/>
        <v>M</v>
      </c>
      <c r="BC6" s="34" t="str">
        <f t="shared" si="5"/>
        <v>T</v>
      </c>
      <c r="BD6" s="34" t="str">
        <f t="shared" si="5"/>
        <v>W</v>
      </c>
      <c r="BE6" s="34" t="str">
        <f t="shared" si="5"/>
        <v>T</v>
      </c>
      <c r="BF6" s="34" t="str">
        <f t="shared" si="5"/>
        <v>F</v>
      </c>
      <c r="BG6" s="34" t="str">
        <f t="shared" si="5"/>
        <v>S</v>
      </c>
      <c r="BH6" s="34" t="str">
        <f t="shared" si="5"/>
        <v>S</v>
      </c>
      <c r="BI6" s="34" t="str">
        <f t="shared" si="5"/>
        <v>M</v>
      </c>
      <c r="BJ6" s="34" t="str">
        <f t="shared" si="5"/>
        <v>T</v>
      </c>
      <c r="BK6" s="34" t="str">
        <f t="shared" si="5"/>
        <v>W</v>
      </c>
      <c r="BL6" s="34" t="str">
        <f t="shared" si="5"/>
        <v>T</v>
      </c>
      <c r="BM6" s="34" t="str">
        <f t="shared" si="5"/>
        <v>F</v>
      </c>
      <c r="BN6" s="34" t="str">
        <f t="shared" si="5"/>
        <v>S</v>
      </c>
      <c r="BO6" s="34" t="str">
        <f t="shared" si="5"/>
        <v>S</v>
      </c>
      <c r="BP6" s="35"/>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row>
    <row r="7" spans="1:123" ht="4.5" hidden="1" customHeight="1">
      <c r="B7" s="37" t="s">
        <v>1</v>
      </c>
      <c r="C7" s="16"/>
      <c r="D7" s="16"/>
      <c r="E7" s="38"/>
      <c r="F7" s="38"/>
      <c r="G7" s="16"/>
      <c r="H7" s="16"/>
      <c r="I7" s="16"/>
      <c r="J7" s="16"/>
      <c r="K7" t="str">
        <f>IF(OR(ISBLANK(task_start),ISBLANK(task_end)),"",task_end-task_start+1)</f>
        <v/>
      </c>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row>
    <row r="8" spans="1:123" ht="44.25" customHeight="1" thickTop="1" thickBot="1">
      <c r="A8" s="81" t="s">
        <v>21</v>
      </c>
      <c r="B8" s="82"/>
      <c r="C8" s="82"/>
      <c r="D8" s="82"/>
      <c r="E8" s="82"/>
      <c r="F8" s="40">
        <f>I8-H8</f>
        <v>421</v>
      </c>
      <c r="G8" s="41">
        <f>AVERAGE(G9,G18,G39,G49)</f>
        <v>0.25</v>
      </c>
      <c r="H8" s="42">
        <f>Project_Start</f>
        <v>45971</v>
      </c>
      <c r="I8" s="43">
        <f>MAX(I9,I18,I27,I39,I42,I49,I51)</f>
        <v>46392</v>
      </c>
      <c r="J8" s="16"/>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row>
    <row r="9" spans="1:123" s="44" customFormat="1" ht="49.5" customHeight="1" thickTop="1" thickBot="1">
      <c r="A9" s="80" t="s">
        <v>23</v>
      </c>
      <c r="B9" s="80"/>
      <c r="C9" s="76" t="s">
        <v>27</v>
      </c>
      <c r="D9" s="76"/>
      <c r="E9" s="46"/>
      <c r="F9" s="47" t="e">
        <v>#NAME?</v>
      </c>
      <c r="G9" s="48">
        <v>1</v>
      </c>
      <c r="H9" s="49">
        <v>45971</v>
      </c>
      <c r="I9" s="50">
        <v>45992</v>
      </c>
      <c r="J9" s="51"/>
      <c r="K9" s="52">
        <f t="shared" ref="K9:K10" si="6">IF(OR(ISBLANK(task_start),ISBLANK(task_end)),"",task_end-task_start+1)</f>
        <v>22</v>
      </c>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row>
    <row r="10" spans="1:123" s="44" customFormat="1" ht="39.75" customHeight="1">
      <c r="A10" s="53"/>
      <c r="B10" s="45"/>
      <c r="C10" s="54">
        <v>1</v>
      </c>
      <c r="D10" s="55" t="s">
        <v>40</v>
      </c>
      <c r="E10" s="55" t="s">
        <v>31</v>
      </c>
      <c r="F10" s="56"/>
      <c r="G10" s="57">
        <v>1</v>
      </c>
      <c r="H10" s="58"/>
      <c r="I10" s="58"/>
      <c r="J10" s="51"/>
      <c r="K10" s="52" t="str">
        <f t="shared" si="6"/>
        <v/>
      </c>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row>
    <row r="11" spans="1:123" s="44" customFormat="1" ht="39.75" customHeight="1">
      <c r="A11" s="53"/>
      <c r="B11" s="45"/>
      <c r="C11" s="54">
        <v>2</v>
      </c>
      <c r="D11" s="59" t="s">
        <v>43</v>
      </c>
      <c r="E11" s="59" t="s">
        <v>32</v>
      </c>
      <c r="F11" s="56"/>
      <c r="G11" s="57">
        <v>1</v>
      </c>
      <c r="H11" s="58"/>
      <c r="I11" s="58"/>
      <c r="J11" s="51"/>
      <c r="K11" s="52"/>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spans="1:123" s="44" customFormat="1" ht="39.75" customHeight="1">
      <c r="A12" s="53"/>
      <c r="B12" s="45"/>
      <c r="C12" s="54">
        <v>3</v>
      </c>
      <c r="D12" s="59" t="s">
        <v>41</v>
      </c>
      <c r="E12" s="59" t="s">
        <v>34</v>
      </c>
      <c r="F12" s="56"/>
      <c r="G12" s="57">
        <v>1</v>
      </c>
      <c r="H12" s="58"/>
      <c r="I12" s="58"/>
      <c r="J12" s="51"/>
      <c r="K12" s="52"/>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row>
    <row r="13" spans="1:123" s="44" customFormat="1" ht="39.75" customHeight="1">
      <c r="A13" s="53"/>
      <c r="B13" s="45"/>
      <c r="C13" s="54">
        <v>4</v>
      </c>
      <c r="D13" s="59" t="s">
        <v>42</v>
      </c>
      <c r="E13" s="59" t="s">
        <v>33</v>
      </c>
      <c r="F13" s="56"/>
      <c r="G13" s="57">
        <v>1</v>
      </c>
      <c r="H13" s="58"/>
      <c r="I13" s="58"/>
      <c r="J13" s="51"/>
      <c r="K13" s="52"/>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row>
    <row r="14" spans="1:123" s="44" customFormat="1" ht="39.75" customHeight="1">
      <c r="A14" s="53"/>
      <c r="B14" s="45"/>
      <c r="C14" s="54">
        <v>5</v>
      </c>
      <c r="D14" s="59" t="s">
        <v>37</v>
      </c>
      <c r="E14" s="59" t="s">
        <v>35</v>
      </c>
      <c r="F14" s="56"/>
      <c r="G14" s="57">
        <v>1</v>
      </c>
      <c r="H14" s="58"/>
      <c r="I14" s="58"/>
      <c r="J14" s="51"/>
      <c r="K14" s="39"/>
      <c r="L14" s="39"/>
      <c r="M14" s="39"/>
      <c r="N14" s="39"/>
      <c r="O14" s="39"/>
      <c r="P14" s="39"/>
      <c r="Q14" s="39"/>
      <c r="R14" s="39"/>
      <c r="S14" s="39"/>
      <c r="T14" s="39"/>
      <c r="U14" s="39"/>
      <c r="V14" s="39"/>
      <c r="W14" s="60"/>
      <c r="X14" s="60"/>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row>
    <row r="15" spans="1:123" s="44" customFormat="1" ht="39.75" customHeight="1">
      <c r="A15" s="53"/>
      <c r="B15" s="45"/>
      <c r="C15" s="54">
        <v>6</v>
      </c>
      <c r="D15" s="59" t="s">
        <v>60</v>
      </c>
      <c r="E15" s="59" t="s">
        <v>36</v>
      </c>
      <c r="F15" s="56"/>
      <c r="G15" s="57">
        <v>1</v>
      </c>
      <c r="H15" s="58"/>
      <c r="I15" s="58"/>
      <c r="J15" s="51"/>
      <c r="K15" s="61"/>
      <c r="L15" s="39"/>
      <c r="M15" s="39"/>
      <c r="N15" s="39"/>
      <c r="O15" s="39"/>
      <c r="P15" s="39"/>
      <c r="Q15" s="39"/>
      <c r="R15" s="39"/>
      <c r="S15" s="39"/>
      <c r="T15" s="39"/>
      <c r="U15" s="39"/>
      <c r="V15" s="39"/>
      <c r="W15" s="60"/>
      <c r="X15" s="60"/>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row>
    <row r="16" spans="1:123" s="44" customFormat="1" ht="53.25" customHeight="1">
      <c r="A16" s="53"/>
      <c r="B16" s="45"/>
      <c r="C16" s="54">
        <v>7</v>
      </c>
      <c r="D16" s="62"/>
      <c r="E16" s="55"/>
      <c r="F16" s="56"/>
      <c r="G16" s="57">
        <v>1</v>
      </c>
      <c r="H16" s="58"/>
      <c r="I16" s="58"/>
      <c r="J16" s="51"/>
      <c r="K16" s="61"/>
      <c r="L16" s="39"/>
      <c r="M16" s="39"/>
      <c r="N16" s="39"/>
      <c r="O16" s="39"/>
      <c r="P16" s="39"/>
      <c r="Q16" s="39"/>
      <c r="R16" s="39"/>
      <c r="S16" s="39"/>
      <c r="T16" s="39"/>
      <c r="U16" s="39"/>
      <c r="V16" s="39"/>
      <c r="W16" s="60"/>
      <c r="X16" s="60"/>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row>
    <row r="17" spans="1:67" s="44" customFormat="1" ht="39.75" customHeight="1">
      <c r="A17" s="53"/>
      <c r="B17" s="45"/>
      <c r="C17" s="54">
        <v>8</v>
      </c>
      <c r="D17" s="55"/>
      <c r="E17" s="55"/>
      <c r="F17" s="56"/>
      <c r="G17" s="57">
        <v>1</v>
      </c>
      <c r="H17" s="58"/>
      <c r="I17" s="58"/>
      <c r="J17" s="51"/>
      <c r="K17" s="61"/>
      <c r="L17" s="39"/>
      <c r="M17" s="39"/>
      <c r="N17" s="39"/>
      <c r="O17" s="39"/>
      <c r="P17" s="39"/>
      <c r="Q17" s="39"/>
      <c r="R17" s="39"/>
      <c r="S17" s="39"/>
      <c r="T17" s="39"/>
      <c r="U17" s="39"/>
      <c r="V17" s="39"/>
      <c r="W17" s="60"/>
      <c r="X17" s="60"/>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row>
    <row r="18" spans="1:67" s="44" customFormat="1" ht="39.75" customHeight="1">
      <c r="A18" s="80" t="s">
        <v>24</v>
      </c>
      <c r="B18" s="80"/>
      <c r="C18" s="76" t="s">
        <v>28</v>
      </c>
      <c r="D18" s="76"/>
      <c r="E18" s="46"/>
      <c r="F18" s="63"/>
      <c r="G18" s="48">
        <v>0</v>
      </c>
      <c r="H18" s="49">
        <v>45992</v>
      </c>
      <c r="I18" s="50">
        <f>MAX(I19:I37)</f>
        <v>46392</v>
      </c>
      <c r="J18" s="51"/>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row>
    <row r="19" spans="1:67" s="44" customFormat="1" ht="39.75" customHeight="1">
      <c r="A19" s="53"/>
      <c r="B19" s="45"/>
      <c r="C19" s="54">
        <v>1</v>
      </c>
      <c r="D19" s="55" t="s">
        <v>50</v>
      </c>
      <c r="E19" s="55" t="s">
        <v>31</v>
      </c>
      <c r="F19" s="56">
        <v>3</v>
      </c>
      <c r="G19" s="57">
        <v>1</v>
      </c>
      <c r="H19" s="58">
        <v>46005</v>
      </c>
      <c r="I19" s="58">
        <f>H19+F19</f>
        <v>46008</v>
      </c>
      <c r="J19" s="51"/>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row>
    <row r="20" spans="1:67" s="44" customFormat="1" ht="39.75" customHeight="1">
      <c r="A20" s="53"/>
      <c r="B20" s="45"/>
      <c r="C20" s="54"/>
      <c r="D20" s="55" t="s">
        <v>51</v>
      </c>
      <c r="E20" s="55" t="s">
        <v>31</v>
      </c>
      <c r="F20" s="56">
        <v>3</v>
      </c>
      <c r="G20" s="57">
        <v>1</v>
      </c>
      <c r="H20" s="58">
        <v>46008</v>
      </c>
      <c r="I20" s="58">
        <f t="shared" ref="I20:I37" si="7">H20+F20</f>
        <v>46011</v>
      </c>
      <c r="J20" s="51"/>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row>
    <row r="21" spans="1:67" s="44" customFormat="1" ht="39.75" customHeight="1">
      <c r="A21" s="53"/>
      <c r="B21" s="45"/>
      <c r="C21" s="54"/>
      <c r="D21" s="55" t="s">
        <v>52</v>
      </c>
      <c r="E21" s="55" t="s">
        <v>31</v>
      </c>
      <c r="F21" s="56">
        <v>5</v>
      </c>
      <c r="G21" s="64">
        <v>1</v>
      </c>
      <c r="H21" s="58">
        <v>46011</v>
      </c>
      <c r="I21" s="58">
        <f t="shared" si="7"/>
        <v>46016</v>
      </c>
      <c r="J21" s="51"/>
      <c r="K21" s="39"/>
      <c r="L21" s="39"/>
      <c r="M21" s="39"/>
      <c r="N21" s="39"/>
      <c r="O21" s="39"/>
      <c r="P21" s="39"/>
      <c r="Q21" s="39"/>
      <c r="R21" s="39"/>
      <c r="S21" s="39"/>
      <c r="T21" s="39"/>
      <c r="U21" s="39"/>
      <c r="V21" s="39"/>
      <c r="W21" s="39"/>
      <c r="X21" s="39"/>
      <c r="Y21" s="39"/>
      <c r="Z21" s="39"/>
      <c r="AA21" s="39"/>
      <c r="AB21" s="39"/>
      <c r="AC21" s="39"/>
      <c r="AD21" s="39"/>
      <c r="AE21" s="39"/>
      <c r="AF21" s="39"/>
      <c r="AG21" s="39">
        <v>7</v>
      </c>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row>
    <row r="22" spans="1:67" s="44" customFormat="1" ht="39.75" customHeight="1">
      <c r="A22" s="53"/>
      <c r="B22" s="45"/>
      <c r="C22" s="54">
        <v>2</v>
      </c>
      <c r="D22" s="55" t="s">
        <v>44</v>
      </c>
      <c r="E22" s="55" t="s">
        <v>34</v>
      </c>
      <c r="F22" s="56">
        <v>2</v>
      </c>
      <c r="G22" s="64">
        <v>1</v>
      </c>
      <c r="H22" s="58">
        <v>46005</v>
      </c>
      <c r="I22" s="58">
        <f t="shared" si="7"/>
        <v>46007</v>
      </c>
      <c r="J22" s="51"/>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row>
    <row r="23" spans="1:67" s="44" customFormat="1" ht="39.75" customHeight="1">
      <c r="A23" s="53"/>
      <c r="B23" s="45"/>
      <c r="C23" s="54"/>
      <c r="D23" s="55" t="s">
        <v>53</v>
      </c>
      <c r="E23" s="55" t="s">
        <v>34</v>
      </c>
      <c r="F23" s="56">
        <v>3</v>
      </c>
      <c r="G23" s="64">
        <v>1</v>
      </c>
      <c r="H23" s="58">
        <v>46007</v>
      </c>
      <c r="I23" s="58">
        <f t="shared" si="7"/>
        <v>46010</v>
      </c>
      <c r="J23" s="51"/>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row>
    <row r="24" spans="1:67" s="44" customFormat="1" ht="39.75" customHeight="1">
      <c r="A24" s="53"/>
      <c r="B24" s="45"/>
      <c r="C24" s="54"/>
      <c r="D24" s="55" t="s">
        <v>54</v>
      </c>
      <c r="E24" s="55" t="s">
        <v>34</v>
      </c>
      <c r="F24" s="56">
        <v>3</v>
      </c>
      <c r="G24" s="57">
        <v>1</v>
      </c>
      <c r="H24" s="58">
        <v>46010</v>
      </c>
      <c r="I24" s="58">
        <f t="shared" si="7"/>
        <v>46013</v>
      </c>
      <c r="J24" s="51"/>
      <c r="K24" s="39"/>
      <c r="L24" s="39"/>
      <c r="M24" s="39"/>
      <c r="N24" s="39"/>
      <c r="O24" s="39"/>
      <c r="P24" s="39"/>
      <c r="Q24" s="39"/>
      <c r="R24" s="39"/>
      <c r="S24" s="39"/>
      <c r="T24" s="39"/>
      <c r="U24" s="39"/>
      <c r="V24" s="39"/>
      <c r="W24" s="39"/>
      <c r="X24" s="39"/>
      <c r="Y24" s="39"/>
      <c r="Z24" s="39"/>
      <c r="AA24" s="39"/>
      <c r="AB24" s="39"/>
      <c r="AC24" s="39"/>
      <c r="AD24" s="39"/>
      <c r="AE24" s="39"/>
      <c r="AF24" s="39"/>
      <c r="AG24" s="39">
        <v>10</v>
      </c>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row>
    <row r="25" spans="1:67" s="44" customFormat="1" ht="39.75" customHeight="1">
      <c r="A25" s="53"/>
      <c r="B25" s="45"/>
      <c r="C25" s="54">
        <v>3</v>
      </c>
      <c r="D25" s="55" t="s">
        <v>45</v>
      </c>
      <c r="E25" s="55" t="s">
        <v>58</v>
      </c>
      <c r="F25" s="56">
        <v>5</v>
      </c>
      <c r="G25" s="64">
        <v>1</v>
      </c>
      <c r="H25" s="58">
        <v>46008</v>
      </c>
      <c r="I25" s="58">
        <f t="shared" si="7"/>
        <v>46013</v>
      </c>
      <c r="J25" s="51"/>
      <c r="K25" s="39"/>
      <c r="L25" s="39"/>
      <c r="M25" s="39"/>
      <c r="N25" s="39"/>
      <c r="O25" s="39"/>
      <c r="P25" s="39"/>
      <c r="Q25" s="39"/>
      <c r="R25" s="39"/>
      <c r="S25" s="39"/>
      <c r="T25" s="39"/>
      <c r="U25" s="39"/>
      <c r="V25" s="39"/>
      <c r="W25" s="39"/>
      <c r="X25" s="39"/>
      <c r="Y25" s="39"/>
      <c r="Z25" s="39"/>
      <c r="AA25" s="39"/>
      <c r="AB25" s="39"/>
      <c r="AC25" s="39"/>
      <c r="AD25" s="39"/>
      <c r="AE25" s="39"/>
      <c r="AF25" s="39"/>
      <c r="AG25" s="39">
        <v>10</v>
      </c>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row>
    <row r="26" spans="1:67" s="44" customFormat="1" ht="39.75" customHeight="1">
      <c r="A26" s="53"/>
      <c r="B26" s="45"/>
      <c r="C26" s="54">
        <v>4</v>
      </c>
      <c r="D26" s="55" t="s">
        <v>47</v>
      </c>
      <c r="E26" s="55" t="s">
        <v>33</v>
      </c>
      <c r="F26" s="56">
        <v>4</v>
      </c>
      <c r="G26" s="64">
        <v>1</v>
      </c>
      <c r="H26" s="58">
        <v>46006</v>
      </c>
      <c r="I26" s="58">
        <f t="shared" si="7"/>
        <v>46010</v>
      </c>
      <c r="J26" s="51"/>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row>
    <row r="27" spans="1:67" s="44" customFormat="1" ht="39.75" customHeight="1" thickBot="1">
      <c r="A27" s="53"/>
      <c r="B27" s="45"/>
      <c r="C27" s="54"/>
      <c r="D27" s="55" t="s">
        <v>49</v>
      </c>
      <c r="E27" s="55" t="s">
        <v>33</v>
      </c>
      <c r="F27" s="56">
        <v>6</v>
      </c>
      <c r="G27" s="64">
        <v>1</v>
      </c>
      <c r="H27" s="58">
        <v>46010</v>
      </c>
      <c r="I27" s="58">
        <f t="shared" si="7"/>
        <v>46016</v>
      </c>
      <c r="J27" s="51"/>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row>
    <row r="28" spans="1:67" s="44" customFormat="1" ht="39.75" customHeight="1" thickBot="1">
      <c r="A28" s="53"/>
      <c r="B28" s="45"/>
      <c r="C28" s="54"/>
      <c r="D28" s="55" t="s">
        <v>66</v>
      </c>
      <c r="E28" s="55" t="s">
        <v>33</v>
      </c>
      <c r="F28" s="56">
        <v>3</v>
      </c>
      <c r="G28" s="64">
        <v>1</v>
      </c>
      <c r="H28" s="58">
        <v>46381</v>
      </c>
      <c r="I28" s="58">
        <f t="shared" si="7"/>
        <v>46384</v>
      </c>
      <c r="J28" s="51"/>
      <c r="K28" s="39"/>
      <c r="L28" s="39"/>
      <c r="M28" s="39"/>
      <c r="N28" s="39"/>
      <c r="O28" s="39"/>
      <c r="P28" s="39"/>
      <c r="Q28" s="39"/>
      <c r="R28" s="39"/>
      <c r="S28" s="39"/>
      <c r="T28" s="39"/>
      <c r="U28" s="39"/>
      <c r="V28" s="39"/>
      <c r="W28" s="39"/>
      <c r="X28" s="39"/>
      <c r="Y28" s="39"/>
      <c r="Z28" s="39"/>
      <c r="AA28" s="39"/>
      <c r="AB28" s="39"/>
      <c r="AC28" s="39"/>
      <c r="AD28" s="39"/>
      <c r="AE28" s="39"/>
      <c r="AF28" s="39"/>
      <c r="AG28" s="39">
        <v>10</v>
      </c>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row>
    <row r="29" spans="1:67" s="44" customFormat="1" ht="39.75" customHeight="1" thickBot="1">
      <c r="A29" s="53"/>
      <c r="B29" s="45"/>
      <c r="C29" s="54">
        <v>5</v>
      </c>
      <c r="D29" s="55" t="s">
        <v>46</v>
      </c>
      <c r="E29" s="55" t="s">
        <v>32</v>
      </c>
      <c r="F29" s="56">
        <v>3</v>
      </c>
      <c r="G29" s="64">
        <v>0.8</v>
      </c>
      <c r="H29" s="58">
        <v>46009</v>
      </c>
      <c r="I29" s="58">
        <f t="shared" si="7"/>
        <v>46012</v>
      </c>
      <c r="J29" s="51"/>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row>
    <row r="30" spans="1:67" s="44" customFormat="1" ht="39.75" customHeight="1" thickBot="1">
      <c r="A30" s="53"/>
      <c r="B30" s="45"/>
      <c r="C30" s="54"/>
      <c r="D30" s="55" t="s">
        <v>48</v>
      </c>
      <c r="E30" s="55" t="s">
        <v>71</v>
      </c>
      <c r="F30" s="56">
        <v>3</v>
      </c>
      <c r="G30" s="64">
        <v>0.8</v>
      </c>
      <c r="H30" s="58">
        <v>46012</v>
      </c>
      <c r="I30" s="58">
        <f t="shared" si="7"/>
        <v>46015</v>
      </c>
      <c r="J30" s="51"/>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row>
    <row r="31" spans="1:67" s="44" customFormat="1" ht="39.75" customHeight="1" thickBot="1">
      <c r="A31" s="53"/>
      <c r="B31" s="45"/>
      <c r="C31" s="54"/>
      <c r="D31" s="55" t="s">
        <v>67</v>
      </c>
      <c r="E31" s="55" t="s">
        <v>32</v>
      </c>
      <c r="F31" s="56">
        <v>2</v>
      </c>
      <c r="G31" s="64">
        <v>1</v>
      </c>
      <c r="H31" s="58">
        <v>46380</v>
      </c>
      <c r="I31" s="58">
        <f t="shared" si="7"/>
        <v>46382</v>
      </c>
      <c r="J31" s="51"/>
      <c r="K31" s="39"/>
      <c r="L31" s="39"/>
      <c r="M31" s="39"/>
      <c r="N31" s="39"/>
      <c r="O31" s="39"/>
      <c r="P31" s="39"/>
      <c r="Q31" s="39"/>
      <c r="R31" s="39"/>
      <c r="S31" s="39"/>
      <c r="T31" s="39"/>
      <c r="U31" s="39"/>
      <c r="V31" s="39"/>
      <c r="W31" s="39"/>
      <c r="X31" s="39"/>
      <c r="Y31" s="39"/>
      <c r="Z31" s="39"/>
      <c r="AA31" s="39"/>
      <c r="AB31" s="39"/>
      <c r="AC31" s="39"/>
      <c r="AD31" s="39"/>
      <c r="AE31" s="39"/>
      <c r="AF31" s="39"/>
      <c r="AG31" s="39">
        <v>10</v>
      </c>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row>
    <row r="32" spans="1:67" s="44" customFormat="1" ht="39.75" customHeight="1" thickBot="1">
      <c r="A32" s="53"/>
      <c r="B32" s="45"/>
      <c r="C32" s="54">
        <v>6</v>
      </c>
      <c r="D32" s="55" t="s">
        <v>59</v>
      </c>
      <c r="E32" s="55" t="s">
        <v>35</v>
      </c>
      <c r="F32" s="56">
        <v>4</v>
      </c>
      <c r="G32" s="64">
        <v>1</v>
      </c>
      <c r="H32" s="58">
        <v>46005</v>
      </c>
      <c r="I32" s="58">
        <f t="shared" si="7"/>
        <v>46009</v>
      </c>
      <c r="J32" s="51"/>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row>
    <row r="33" spans="1:66" s="44" customFormat="1" ht="39.75" customHeight="1" thickBot="1">
      <c r="A33" s="53"/>
      <c r="B33" s="45"/>
      <c r="C33" s="54"/>
      <c r="D33" s="55" t="s">
        <v>57</v>
      </c>
      <c r="E33" s="55" t="s">
        <v>35</v>
      </c>
      <c r="F33" s="56">
        <v>4</v>
      </c>
      <c r="G33" s="64">
        <v>1</v>
      </c>
      <c r="H33" s="58">
        <v>46009</v>
      </c>
      <c r="I33" s="58">
        <f t="shared" si="7"/>
        <v>46013</v>
      </c>
      <c r="J33" s="51"/>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row>
    <row r="34" spans="1:66" s="44" customFormat="1" ht="39.75" customHeight="1" thickBot="1">
      <c r="A34" s="53"/>
      <c r="B34" s="45"/>
      <c r="C34" s="54"/>
      <c r="D34" s="55" t="s">
        <v>55</v>
      </c>
      <c r="E34" s="55" t="s">
        <v>35</v>
      </c>
      <c r="F34" s="56">
        <v>5</v>
      </c>
      <c r="G34" s="64">
        <v>1</v>
      </c>
      <c r="H34" s="58">
        <v>46013</v>
      </c>
      <c r="I34" s="58">
        <f>H34+F34</f>
        <v>46018</v>
      </c>
      <c r="J34" s="51"/>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row>
    <row r="35" spans="1:66" s="44" customFormat="1" ht="39.75" customHeight="1" thickBot="1">
      <c r="A35" s="53"/>
      <c r="B35" s="45"/>
      <c r="C35" s="54"/>
      <c r="D35" s="55" t="s">
        <v>62</v>
      </c>
      <c r="E35" s="55" t="s">
        <v>35</v>
      </c>
      <c r="F35" s="56">
        <v>4</v>
      </c>
      <c r="G35" s="64">
        <v>0.9</v>
      </c>
      <c r="H35" s="58">
        <v>46383</v>
      </c>
      <c r="I35" s="58">
        <f>H35+F35</f>
        <v>46387</v>
      </c>
      <c r="J35" s="51"/>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row>
    <row r="36" spans="1:66" s="44" customFormat="1" ht="39.75" customHeight="1" thickBot="1">
      <c r="A36" s="53"/>
      <c r="B36" s="45"/>
      <c r="C36" s="54"/>
      <c r="D36" s="55" t="s">
        <v>61</v>
      </c>
      <c r="E36" s="55" t="s">
        <v>35</v>
      </c>
      <c r="F36" s="56">
        <v>5</v>
      </c>
      <c r="G36" s="64">
        <v>0.7</v>
      </c>
      <c r="H36" s="58">
        <v>46387</v>
      </c>
      <c r="I36" s="58">
        <f>H36+F36</f>
        <v>46392</v>
      </c>
      <c r="J36" s="51"/>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row>
    <row r="37" spans="1:66" s="44" customFormat="1" ht="39.75" customHeight="1" thickBot="1">
      <c r="A37" s="53"/>
      <c r="B37" s="45"/>
      <c r="C37" s="54"/>
      <c r="D37" s="55" t="s">
        <v>56</v>
      </c>
      <c r="E37" s="55" t="s">
        <v>35</v>
      </c>
      <c r="F37" s="56">
        <v>3</v>
      </c>
      <c r="G37" s="57">
        <v>0</v>
      </c>
      <c r="H37" s="58">
        <v>45662</v>
      </c>
      <c r="I37" s="58">
        <f t="shared" si="7"/>
        <v>45665</v>
      </c>
      <c r="J37" s="51"/>
      <c r="K37" s="39"/>
      <c r="L37" s="39"/>
      <c r="M37" s="39"/>
      <c r="N37" s="39"/>
      <c r="O37" s="39"/>
      <c r="P37" s="39"/>
      <c r="Q37" s="39"/>
      <c r="R37" s="39"/>
      <c r="S37" s="39"/>
      <c r="T37" s="39"/>
      <c r="U37" s="39"/>
      <c r="V37" s="39"/>
      <c r="W37" s="39"/>
      <c r="X37" s="39"/>
      <c r="Y37" s="39"/>
      <c r="Z37" s="39"/>
      <c r="AA37" s="39"/>
      <c r="AB37" s="39"/>
      <c r="AC37" s="39"/>
      <c r="AD37" s="39"/>
      <c r="AE37" s="39"/>
      <c r="AF37" s="39"/>
      <c r="AG37" s="39">
        <v>5</v>
      </c>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row>
    <row r="38" spans="1:66" s="44" customFormat="1" ht="39.75" customHeight="1" thickBot="1">
      <c r="A38" s="53"/>
      <c r="B38" s="69"/>
      <c r="C38" s="54"/>
      <c r="D38" s="55"/>
      <c r="E38" s="55"/>
      <c r="F38" s="56"/>
      <c r="G38" s="57"/>
      <c r="H38" s="58"/>
      <c r="I38" s="58"/>
      <c r="J38" s="51"/>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row>
    <row r="39" spans="1:66" s="44" customFormat="1" ht="39.75" customHeight="1" thickTop="1" thickBot="1">
      <c r="A39" s="80" t="s">
        <v>25</v>
      </c>
      <c r="B39" s="80"/>
      <c r="C39" s="76" t="s">
        <v>29</v>
      </c>
      <c r="D39" s="76"/>
      <c r="E39" s="46"/>
      <c r="F39" s="63">
        <f>I39-H39</f>
        <v>3</v>
      </c>
      <c r="G39" s="48">
        <v>0</v>
      </c>
      <c r="H39" s="49">
        <f>I37+1</f>
        <v>45666</v>
      </c>
      <c r="I39" s="50">
        <f>MAX(I40:I50)</f>
        <v>45669</v>
      </c>
      <c r="J39" s="51"/>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row>
    <row r="40" spans="1:66" s="44" customFormat="1" ht="39.75" customHeight="1" thickBot="1">
      <c r="A40" s="53"/>
      <c r="B40" s="45"/>
      <c r="C40" s="54">
        <v>1</v>
      </c>
      <c r="D40" s="55" t="s">
        <v>63</v>
      </c>
      <c r="E40" s="55" t="s">
        <v>31</v>
      </c>
      <c r="F40" s="56">
        <v>3</v>
      </c>
      <c r="G40" s="57">
        <v>1</v>
      </c>
      <c r="H40" s="58">
        <f>H39</f>
        <v>45666</v>
      </c>
      <c r="I40" s="58">
        <f>H40+F40</f>
        <v>45669</v>
      </c>
      <c r="J40" s="51"/>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row>
    <row r="41" spans="1:66" s="44" customFormat="1" ht="39.75" customHeight="1" thickBot="1">
      <c r="A41" s="53"/>
      <c r="B41" s="45"/>
      <c r="C41" s="54">
        <v>2</v>
      </c>
      <c r="D41" s="55" t="s">
        <v>68</v>
      </c>
      <c r="E41" s="55" t="s">
        <v>34</v>
      </c>
      <c r="F41" s="56">
        <v>5</v>
      </c>
      <c r="G41" s="57">
        <v>0</v>
      </c>
      <c r="H41" s="58"/>
      <c r="I41" s="58"/>
      <c r="J41" s="51"/>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row>
    <row r="42" spans="1:66" s="44" customFormat="1" ht="39.75" customHeight="1" thickBot="1">
      <c r="A42" s="53"/>
      <c r="B42" s="45"/>
      <c r="C42" s="54">
        <v>3</v>
      </c>
      <c r="D42" s="55" t="s">
        <v>69</v>
      </c>
      <c r="E42" s="55" t="s">
        <v>33</v>
      </c>
      <c r="F42" s="56">
        <v>2</v>
      </c>
      <c r="G42" s="64">
        <v>0</v>
      </c>
      <c r="H42" s="58"/>
      <c r="I42" s="58"/>
      <c r="J42" s="51"/>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row>
    <row r="43" spans="1:66" s="44" customFormat="1" ht="39.75" customHeight="1" thickBot="1">
      <c r="A43" s="53"/>
      <c r="B43" s="45"/>
      <c r="C43" s="54"/>
      <c r="D43" s="55" t="s">
        <v>70</v>
      </c>
      <c r="E43" s="55" t="s">
        <v>33</v>
      </c>
      <c r="F43" s="56">
        <v>3</v>
      </c>
      <c r="G43" s="64">
        <v>0</v>
      </c>
      <c r="H43" s="58"/>
      <c r="I43" s="58"/>
      <c r="J43" s="51"/>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row>
    <row r="44" spans="1:66" s="44" customFormat="1" ht="39.75" customHeight="1" thickBot="1">
      <c r="A44" s="53"/>
      <c r="B44" s="45"/>
      <c r="C44" s="54"/>
      <c r="D44" s="55" t="s">
        <v>72</v>
      </c>
      <c r="E44" s="55" t="s">
        <v>35</v>
      </c>
      <c r="F44" s="56">
        <v>2</v>
      </c>
      <c r="G44" s="64">
        <v>0</v>
      </c>
      <c r="H44" s="58"/>
      <c r="I44" s="58"/>
      <c r="J44" s="51"/>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row>
    <row r="45" spans="1:66" s="44" customFormat="1" ht="39.75" customHeight="1" thickBot="1">
      <c r="A45" s="53"/>
      <c r="B45" s="45"/>
      <c r="C45" s="54">
        <v>4</v>
      </c>
      <c r="D45" s="55" t="s">
        <v>73</v>
      </c>
      <c r="E45" s="55" t="s">
        <v>35</v>
      </c>
      <c r="F45" s="56">
        <v>3</v>
      </c>
      <c r="G45" s="64">
        <v>0.8</v>
      </c>
      <c r="H45" s="58"/>
      <c r="I45" s="58"/>
      <c r="J45" s="51"/>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row>
    <row r="46" spans="1:66" s="44" customFormat="1" ht="39.75" customHeight="1" thickBot="1">
      <c r="A46" s="53"/>
      <c r="B46" s="45"/>
      <c r="C46" s="54">
        <v>5</v>
      </c>
      <c r="D46" s="55" t="s">
        <v>74</v>
      </c>
      <c r="E46" s="55" t="s">
        <v>32</v>
      </c>
      <c r="F46" s="56">
        <v>3</v>
      </c>
      <c r="G46" s="57">
        <v>0</v>
      </c>
      <c r="H46" s="58"/>
      <c r="I46" s="58"/>
      <c r="J46" s="51"/>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row>
    <row r="47" spans="1:66" s="44" customFormat="1" ht="39.75" customHeight="1" thickBot="1">
      <c r="A47" s="53"/>
      <c r="B47" s="45"/>
      <c r="C47" s="54">
        <v>6</v>
      </c>
      <c r="D47" s="55" t="s">
        <v>64</v>
      </c>
      <c r="E47" s="55" t="s">
        <v>65</v>
      </c>
      <c r="F47" s="56"/>
      <c r="G47" s="64">
        <v>0</v>
      </c>
      <c r="H47" s="58"/>
      <c r="I47" s="58"/>
      <c r="J47" s="51"/>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row>
    <row r="48" spans="1:66" s="44" customFormat="1" ht="39.75" customHeight="1" thickBot="1">
      <c r="A48" s="53"/>
      <c r="B48" s="45"/>
      <c r="C48" s="54">
        <v>7</v>
      </c>
      <c r="D48" s="55"/>
      <c r="E48" s="55"/>
      <c r="F48" s="56"/>
      <c r="G48" s="64">
        <v>0</v>
      </c>
      <c r="H48" s="58"/>
      <c r="I48" s="58"/>
      <c r="J48" s="51"/>
      <c r="K48" s="39"/>
      <c r="L48" s="39"/>
      <c r="M48" s="39"/>
      <c r="N48" s="39"/>
      <c r="O48" s="39"/>
      <c r="P48" s="39"/>
      <c r="Q48" s="39"/>
      <c r="R48" s="39"/>
      <c r="S48" s="39"/>
      <c r="T48" s="39"/>
      <c r="U48" s="39"/>
      <c r="V48" s="60"/>
      <c r="W48" s="60"/>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row>
    <row r="49" spans="1:65" s="44" customFormat="1" ht="39.75" customHeight="1" thickBot="1">
      <c r="A49" s="53"/>
      <c r="B49" s="45"/>
      <c r="C49" s="54">
        <v>8</v>
      </c>
      <c r="D49" s="55"/>
      <c r="E49" s="55"/>
      <c r="F49" s="56"/>
      <c r="G49" s="64">
        <v>0</v>
      </c>
      <c r="H49" s="58"/>
      <c r="I49" s="58"/>
      <c r="J49" s="51"/>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row>
    <row r="50" spans="1:65" s="44" customFormat="1" ht="39.75" customHeight="1">
      <c r="A50" s="53"/>
      <c r="B50" s="45"/>
      <c r="C50" s="54">
        <v>9</v>
      </c>
      <c r="D50" s="55"/>
      <c r="E50" s="55"/>
      <c r="F50" s="56"/>
      <c r="G50" s="57">
        <v>0</v>
      </c>
      <c r="H50" s="58"/>
      <c r="I50" s="58"/>
      <c r="J50" s="51"/>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row>
    <row r="51" spans="1:65" s="44" customFormat="1" ht="39.75" customHeight="1">
      <c r="A51" s="80" t="s">
        <v>26</v>
      </c>
      <c r="B51" s="80"/>
      <c r="C51" s="76" t="s">
        <v>30</v>
      </c>
      <c r="D51" s="76"/>
      <c r="E51" s="46"/>
      <c r="F51" s="63">
        <f>I51-H51</f>
        <v>0</v>
      </c>
      <c r="G51" s="48">
        <v>0</v>
      </c>
      <c r="H51" s="49">
        <f>I40+1</f>
        <v>45670</v>
      </c>
      <c r="I51" s="50">
        <f>MAX(I52:I59)</f>
        <v>45670</v>
      </c>
      <c r="J51" s="51"/>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row>
    <row r="52" spans="1:65" s="44" customFormat="1" ht="39.75" customHeight="1">
      <c r="A52" s="53"/>
      <c r="B52" s="45"/>
      <c r="C52" s="54">
        <v>1</v>
      </c>
      <c r="D52" s="55"/>
      <c r="E52" s="55"/>
      <c r="F52" s="56"/>
      <c r="G52" s="57">
        <v>0</v>
      </c>
      <c r="H52" s="58">
        <f>H51</f>
        <v>45670</v>
      </c>
      <c r="I52" s="58">
        <f>H52+F52</f>
        <v>45670</v>
      </c>
      <c r="J52" s="51"/>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row>
    <row r="53" spans="1:65" s="44" customFormat="1" ht="39.75" customHeight="1">
      <c r="A53" s="53"/>
      <c r="B53" s="45"/>
      <c r="C53" s="54">
        <v>2</v>
      </c>
      <c r="D53" s="55"/>
      <c r="E53" s="55"/>
      <c r="F53" s="56"/>
      <c r="G53" s="64">
        <v>0</v>
      </c>
      <c r="H53" s="58"/>
      <c r="I53" s="58"/>
      <c r="J53" s="51"/>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row>
    <row r="54" spans="1:65" s="44" customFormat="1" ht="39.75" customHeight="1">
      <c r="A54" s="53"/>
      <c r="B54" s="45"/>
      <c r="C54" s="54">
        <v>3</v>
      </c>
      <c r="D54" s="55"/>
      <c r="E54" s="55"/>
      <c r="F54" s="56"/>
      <c r="G54" s="64">
        <v>0</v>
      </c>
      <c r="H54" s="58"/>
      <c r="I54" s="58"/>
      <c r="J54" s="51"/>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row>
    <row r="55" spans="1:65" s="44" customFormat="1" ht="39.75" customHeight="1">
      <c r="A55" s="53"/>
      <c r="B55" s="45"/>
      <c r="C55" s="54">
        <v>4</v>
      </c>
      <c r="D55" s="55"/>
      <c r="E55" s="55"/>
      <c r="F55" s="56"/>
      <c r="G55" s="57">
        <v>0</v>
      </c>
      <c r="H55" s="58"/>
      <c r="I55" s="58"/>
      <c r="J55" s="51"/>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row>
    <row r="56" spans="1:65" s="44" customFormat="1" ht="39.75" customHeight="1">
      <c r="A56" s="53"/>
      <c r="B56" s="45"/>
      <c r="C56" s="54">
        <v>5</v>
      </c>
      <c r="D56" s="55"/>
      <c r="E56" s="55"/>
      <c r="F56" s="56"/>
      <c r="G56" s="64">
        <v>0</v>
      </c>
      <c r="H56" s="58"/>
      <c r="I56" s="58"/>
      <c r="J56" s="51"/>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row>
    <row r="57" spans="1:65" s="44" customFormat="1" ht="39.75" customHeight="1">
      <c r="A57" s="53"/>
      <c r="B57" s="45"/>
      <c r="C57" s="54">
        <v>6</v>
      </c>
      <c r="D57" s="55"/>
      <c r="E57" s="55"/>
      <c r="F57" s="56"/>
      <c r="G57" s="64">
        <v>0</v>
      </c>
      <c r="H57" s="58"/>
      <c r="I57" s="58"/>
      <c r="J57" s="51"/>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row>
    <row r="58" spans="1:65" s="44" customFormat="1" ht="39.75" customHeight="1">
      <c r="A58" s="53"/>
      <c r="B58" s="45"/>
      <c r="C58" s="54">
        <v>7</v>
      </c>
      <c r="D58" s="55"/>
      <c r="E58" s="55"/>
      <c r="F58" s="56"/>
      <c r="G58" s="64">
        <v>0</v>
      </c>
      <c r="H58" s="58"/>
      <c r="I58" s="58"/>
      <c r="J58" s="51"/>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row>
    <row r="59" spans="1:65" s="44" customFormat="1" ht="39.75" customHeight="1">
      <c r="A59" s="53"/>
      <c r="B59" s="45"/>
      <c r="C59" s="54">
        <v>8</v>
      </c>
      <c r="D59" s="55"/>
      <c r="E59" s="55"/>
      <c r="F59" s="56"/>
      <c r="G59" s="57">
        <v>0</v>
      </c>
      <c r="H59" s="58"/>
      <c r="I59" s="58"/>
      <c r="J59" s="51"/>
      <c r="K59" s="39"/>
      <c r="L59" s="39"/>
      <c r="M59" s="39"/>
      <c r="N59" s="39"/>
      <c r="O59" s="39"/>
      <c r="P59" s="39"/>
      <c r="Q59" s="39"/>
      <c r="R59" s="39"/>
      <c r="S59" s="39"/>
      <c r="T59" s="39"/>
      <c r="U59" s="60"/>
      <c r="V59" s="60"/>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row>
    <row r="61" spans="1:65" ht="36.9" customHeight="1">
      <c r="A61" s="65"/>
      <c r="C61" s="66"/>
      <c r="D61" s="66"/>
      <c r="E61" s="66"/>
      <c r="F61" s="70" t="s">
        <v>15</v>
      </c>
      <c r="G61" s="70"/>
      <c r="H61" s="70"/>
      <c r="I61" s="70"/>
      <c r="L61" s="71"/>
      <c r="M61" s="71"/>
      <c r="N61" s="71"/>
      <c r="O61" s="71"/>
      <c r="P61" s="71"/>
      <c r="Q61" s="71"/>
      <c r="R61" s="71"/>
      <c r="S61" s="67"/>
      <c r="T61" s="71"/>
      <c r="U61" s="71"/>
      <c r="V61" s="71"/>
      <c r="W61" s="71"/>
      <c r="X61" s="71"/>
      <c r="Y61" s="71"/>
      <c r="Z61" s="71"/>
      <c r="AB61" s="71"/>
      <c r="AC61" s="71"/>
      <c r="AD61" s="71"/>
      <c r="AE61" s="71"/>
      <c r="AF61" s="71"/>
      <c r="AG61" s="71"/>
      <c r="AH61" s="71"/>
      <c r="AJ61" s="70"/>
      <c r="AK61" s="70"/>
      <c r="AL61" s="70"/>
      <c r="AM61" s="70"/>
      <c r="AN61" s="70"/>
      <c r="AO61" s="70"/>
      <c r="AP61" s="70"/>
      <c r="AR61" s="70"/>
      <c r="AS61" s="70"/>
      <c r="AT61" s="70"/>
      <c r="AU61" s="70"/>
      <c r="AV61" s="70"/>
      <c r="AW61" s="70"/>
      <c r="AX61" s="70"/>
    </row>
    <row r="62" spans="1:65" ht="36.9" customHeight="1">
      <c r="C62" s="66"/>
      <c r="D62" s="66"/>
      <c r="E62" s="66"/>
      <c r="F62" s="70" t="s">
        <v>13</v>
      </c>
      <c r="G62" s="70"/>
      <c r="H62" s="70"/>
      <c r="I62" s="70"/>
      <c r="L62" s="70"/>
      <c r="M62" s="70"/>
      <c r="N62" s="70"/>
      <c r="O62" s="70"/>
      <c r="P62" s="70"/>
      <c r="Q62" s="70"/>
      <c r="R62" s="70"/>
      <c r="T62" s="70"/>
      <c r="U62" s="70"/>
      <c r="V62" s="70"/>
      <c r="W62" s="70"/>
      <c r="X62" s="70"/>
      <c r="Y62" s="70"/>
      <c r="Z62" s="70"/>
      <c r="AB62" s="70"/>
      <c r="AC62" s="70"/>
      <c r="AD62" s="70"/>
      <c r="AE62" s="70"/>
      <c r="AF62" s="70"/>
      <c r="AG62" s="70"/>
      <c r="AH62" s="70"/>
      <c r="AJ62" s="70"/>
      <c r="AK62" s="70"/>
      <c r="AL62" s="70"/>
      <c r="AM62" s="70"/>
      <c r="AN62" s="70"/>
      <c r="AO62" s="70"/>
      <c r="AP62" s="70"/>
      <c r="AR62" s="70"/>
      <c r="AS62" s="70"/>
      <c r="AT62" s="70"/>
      <c r="AU62" s="70"/>
      <c r="AV62" s="70"/>
      <c r="AW62" s="70"/>
      <c r="AX62" s="70"/>
    </row>
    <row r="63" spans="1:65" ht="36.9" customHeight="1">
      <c r="C63" s="66"/>
      <c r="D63" s="66"/>
      <c r="E63" s="66"/>
      <c r="F63" s="66"/>
    </row>
    <row r="64" spans="1:65" ht="36.9" customHeight="1">
      <c r="C64" s="66"/>
      <c r="D64" s="66"/>
      <c r="E64" s="66"/>
      <c r="F64" s="66"/>
    </row>
    <row r="65" spans="3:6" ht="36.9" customHeight="1">
      <c r="C65" s="66"/>
      <c r="D65" s="66"/>
      <c r="E65" s="66"/>
      <c r="F65" s="66"/>
    </row>
    <row r="66" spans="3:6" ht="30" customHeight="1">
      <c r="D66" s="68"/>
    </row>
  </sheetData>
  <autoFilter ref="B6:I59" xr:uid="{00000000-0009-0000-0000-000000000000}">
    <filterColumn colId="0">
      <filters>
        <filter val="Blimp"/>
        <filter val="Hex"/>
      </filters>
    </filterColumn>
  </autoFilter>
  <mergeCells count="50">
    <mergeCell ref="DM4:DS4"/>
    <mergeCell ref="Z4:AF4"/>
    <mergeCell ref="CD4:CJ4"/>
    <mergeCell ref="V3:AD3"/>
    <mergeCell ref="BW4:CC4"/>
    <mergeCell ref="DF4:DL4"/>
    <mergeCell ref="CY4:DE4"/>
    <mergeCell ref="L4:R4"/>
    <mergeCell ref="A3:C3"/>
    <mergeCell ref="C5:J5"/>
    <mergeCell ref="AJ62:AP62"/>
    <mergeCell ref="F3:G3"/>
    <mergeCell ref="A39:B39"/>
    <mergeCell ref="AB62:AH62"/>
    <mergeCell ref="C18:D18"/>
    <mergeCell ref="A4:C4"/>
    <mergeCell ref="AB61:AH61"/>
    <mergeCell ref="T62:Z62"/>
    <mergeCell ref="A51:B51"/>
    <mergeCell ref="S2:AD2"/>
    <mergeCell ref="BB4:BH4"/>
    <mergeCell ref="AF3:AM3"/>
    <mergeCell ref="AN4:AT4"/>
    <mergeCell ref="AT2:AU2"/>
    <mergeCell ref="AI2:AS2"/>
    <mergeCell ref="AU4:BA4"/>
    <mergeCell ref="S4:Y4"/>
    <mergeCell ref="B1:D2"/>
    <mergeCell ref="CR4:CX4"/>
    <mergeCell ref="E1:I2"/>
    <mergeCell ref="C51:D51"/>
    <mergeCell ref="AR61:AX61"/>
    <mergeCell ref="C39:D39"/>
    <mergeCell ref="AE2:AF2"/>
    <mergeCell ref="E4:G4"/>
    <mergeCell ref="C9:D9"/>
    <mergeCell ref="A9:B9"/>
    <mergeCell ref="A8:E8"/>
    <mergeCell ref="A18:B18"/>
    <mergeCell ref="CK4:CQ4"/>
    <mergeCell ref="AG4:AM4"/>
    <mergeCell ref="BI4:BO4"/>
    <mergeCell ref="BP4:BV4"/>
    <mergeCell ref="AR62:AX62"/>
    <mergeCell ref="F61:I61"/>
    <mergeCell ref="L61:R61"/>
    <mergeCell ref="T61:Z61"/>
    <mergeCell ref="L62:R62"/>
    <mergeCell ref="AJ61:AP61"/>
    <mergeCell ref="F62:I62"/>
  </mergeCells>
  <conditionalFormatting sqref="G7">
    <cfRule type="dataBar" priority="22">
      <dataBar>
        <cfvo type="num" val="0"/>
        <cfvo type="num" val="1"/>
        <color theme="0" tint="-0.249977111117893"/>
      </dataBar>
    </cfRule>
    <cfRule type="dataBar" priority="32767">
      <dataBar>
        <cfvo type="num" val="0"/>
        <cfvo type="num" val="1"/>
        <color auto="1"/>
      </dataBar>
      <extLst>
        <ext xmlns:x14="http://schemas.microsoft.com/office/spreadsheetml/2009/9/main" uri="{B025F937-C7B1-47D3-B67F-A62EFF666E3E}">
          <x14:id>{00000000-000E-0000-0000-0000FF7F0000}</x14:id>
        </ext>
      </extLst>
    </cfRule>
    <cfRule type="dataBar" priority="32768">
      <dataBar>
        <cfvo type="num" val="0"/>
        <cfvo type="num" val="1"/>
        <color rgb="FF000000"/>
      </dataBar>
    </cfRule>
  </conditionalFormatting>
  <conditionalFormatting sqref="G8">
    <cfRule type="dataBar" priority="1">
      <dataBar>
        <cfvo type="num" val="0"/>
        <cfvo type="num" val="1"/>
        <color rgb="FF7030A0"/>
      </dataBar>
    </cfRule>
  </conditionalFormatting>
  <conditionalFormatting sqref="G9:G59">
    <cfRule type="dataBar" priority="4">
      <dataBar>
        <cfvo type="num" val="0"/>
        <cfvo type="num" val="1"/>
        <color rgb="FF7030A0"/>
      </dataBar>
    </cfRule>
    <cfRule type="dataBar" priority="32769">
      <dataBar>
        <cfvo type="num" val="0"/>
        <cfvo type="num" val="1"/>
        <color auto="1"/>
      </dataBar>
      <extLst>
        <ext xmlns:x14="http://schemas.microsoft.com/office/spreadsheetml/2009/9/main" uri="{B025F937-C7B1-47D3-B67F-A62EFF666E3E}">
          <x14:id>{00000000-000E-0000-0000-000001800000}</x14:id>
        </ext>
      </extLst>
    </cfRule>
    <cfRule type="dataBar" priority="32769">
      <dataBar>
        <cfvo type="num" val="0"/>
        <cfvo type="num" val="1"/>
        <color rgb="FF000000"/>
      </dataBar>
    </cfRule>
  </conditionalFormatting>
  <conditionalFormatting sqref="L5:BO13 K14:BO17 K18:BN48 K49:BM59">
    <cfRule type="expression" dxfId="3" priority="8">
      <formula>AND(TODAY()&gt;=K$5,TODAY()&lt;L$5)</formula>
    </cfRule>
  </conditionalFormatting>
  <conditionalFormatting sqref="L7:BO13 K14:BO17 K18:BN48 K49:BM59">
    <cfRule type="expression" dxfId="2" priority="6">
      <formula>AND(task_start&lt;=K$5,ROUNDDOWN((task_end-task_start+1)*task_progress,0)+task_start-1&gt;=K$5)</formula>
    </cfRule>
    <cfRule type="expression" dxfId="1" priority="7" stopIfTrue="1">
      <formula>AND(task_end&gt;=K$5,task_start&lt;L$5)</formula>
    </cfRule>
  </conditionalFormatting>
  <conditionalFormatting sqref="BP5:DS6">
    <cfRule type="expression" dxfId="0" priority="2">
      <formula>AND(TODAY()&gt;=BP$5,TODAY()&lt;BQ$5)</formula>
    </cfRule>
  </conditionalFormatting>
  <dataValidations count="1">
    <dataValidation type="whole" operator="greaterThanOrEqual" allowBlank="1" showInputMessage="1" promptTitle="Display Week" prompt="Changing this number will scroll the Gantt Chart view." sqref="H4" xr:uid="{00000000-0002-0000-0000-000000000000}">
      <formula1>1</formula1>
    </dataValidation>
  </dataValidations>
  <printOptions horizontalCentered="1"/>
  <pageMargins left="0.25" right="0.25" top="0.75" bottom="0.75" header="0.3" footer="0.3"/>
  <pageSetup paperSize="9" scale="50" orientation="landscape"/>
  <headerFooter scaleWithDoc="0">
    <oddHeader>&amp;L&amp;"Al-Jazeera-Arabic-Bold,Bold"&amp;12&amp;P</oddHeader>
    <oddFooter>&amp;L&amp;"Al-Jazeera-Arabic-Regular,Regular"&amp;9طبعت بتاريخ &amp;D</oddFooter>
  </headerFooter>
  <extLst>
    <ext xmlns:x14="http://schemas.microsoft.com/office/spreadsheetml/2009/9/main" uri="{78C0D931-6437-407d-A8EE-F0AAD7539E65}">
      <x14:conditionalFormattings>
        <x14:conditionalFormatting xmlns:xm="http://schemas.microsoft.com/office/excel/2006/main">
          <x14:cfRule type="dataBar" id="{00000000-000E-0000-0000-0000FF7F0000}">
            <x14:dataBar minLength="0" maxLength="100" negativeBarColorSameAsPositive="1" axisPosition="none">
              <x14:cfvo type="num">
                <xm:f>0</xm:f>
              </x14:cfvo>
              <x14:cfvo type="num">
                <xm:f>1</xm:f>
              </x14:cfvo>
            </x14:dataBar>
          </x14:cfRule>
          <xm:sqref>G7</xm:sqref>
        </x14:conditionalFormatting>
        <x14:conditionalFormatting xmlns:xm="http://schemas.microsoft.com/office/excel/2006/main">
          <x14:cfRule type="dataBar" id="{00000000-000E-0000-0000-000001800000}">
            <x14:dataBar minLength="0" maxLength="100" negativeBarColorSameAsPositive="1" axisPosition="none">
              <x14:cfvo type="num">
                <xm:f>0</xm:f>
              </x14:cfvo>
              <x14:cfvo type="num">
                <xm:f>1</xm:f>
              </x14:cfvo>
            </x14:dataBar>
          </x14:cfRule>
          <xm:sqref>G9:G59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خطة مزمنة</vt:lpstr>
      <vt:lpstr>Display_Week</vt:lpstr>
      <vt:lpstr>'خطة مزمنة'!Print_Area</vt:lpstr>
      <vt:lpstr>'خطة مزمنة'!Print_Titles</vt:lpstr>
      <vt:lpstr>Project_Start</vt:lpstr>
      <vt:lpstr>'خطة مزمنة'!task_end</vt:lpstr>
      <vt:lpstr>'خطة مزمنة'!task_progress</vt:lpstr>
      <vt:lpstr>'خطة مزمنة'!task_start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SM-G965U1</dc:creator>
  <cp:lastModifiedBy>Thinkpad</cp:lastModifiedBy>
  <dcterms:created xsi:type="dcterms:W3CDTF">2019-03-19T02:17:03Z</dcterms:created>
  <dcterms:modified xsi:type="dcterms:W3CDTF">2026-01-12T06:28:28Z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424a281b5bb844698e96e10ddf1dedef</vt:lpwstr>
  </property>
</Properties>
</file>